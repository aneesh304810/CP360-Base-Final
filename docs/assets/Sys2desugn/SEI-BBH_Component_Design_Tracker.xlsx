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onents" sheetId="2" state="visible" r:id="rId4"/>
    <sheet name="Decisions" sheetId="3" state="visible" r:id="rId5"/>
  </sheets>
  <definedNames>
    <definedName function="false" hidden="true" localSheetId="1" name="_xlnm._FilterDatabase" vbProcedure="false">Components!$A$1:$P$66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<sst xmlns="http://schemas.openxmlformats.org/spreadsheetml/2006/main" count="942" uniqueCount="495">
  <si>
    <t xml:space="preserve">SEI - BBH Integration: Engineering Design Tracker</t>
  </si>
  <si>
    <t xml:space="preserve">65 components across 4 zones. Stack: Python (ingestion) + dbt (transformation) + Airflow (orchestration) on OpenShift/Oracle.</t>
  </si>
  <si>
    <t xml:space="preserve">One design document per component. 'Custom Build = High' means no framework default covers it - design doc mandatory before code.</t>
  </si>
  <si>
    <t xml:space="preserve">By zone</t>
  </si>
  <si>
    <t xml:space="preserve">Zone</t>
  </si>
  <si>
    <t xml:space="preserve">Components</t>
  </si>
  <si>
    <t xml:space="preserve">P1</t>
  </si>
  <si>
    <t xml:space="preserve">High Custom</t>
  </si>
  <si>
    <t xml:space="preserve">Not Started</t>
  </si>
  <si>
    <t xml:space="preserve">In Design</t>
  </si>
  <si>
    <t xml:space="preserve">Approved</t>
  </si>
  <si>
    <t xml:space="preserve">1. SEI</t>
  </si>
  <si>
    <t xml:space="preserve">2. Hub</t>
  </si>
  <si>
    <t xml:space="preserve">3. Consumers</t>
  </si>
  <si>
    <t xml:space="preserve">4. OpenShift</t>
  </si>
  <si>
    <t xml:space="preserve">TOTAL</t>
  </si>
  <si>
    <t xml:space="preserve">By build track</t>
  </si>
  <si>
    <t xml:space="preserve">Technology (contains)</t>
  </si>
  <si>
    <t xml:space="preserve">Python</t>
  </si>
  <si>
    <t xml:space="preserve">dbt</t>
  </si>
  <si>
    <t xml:space="preserve">Airflow</t>
  </si>
  <si>
    <t xml:space="preserve">Oracle DDL</t>
  </si>
  <si>
    <t xml:space="preserve">Infra</t>
  </si>
  <si>
    <t xml:space="preserve">CI/CD</t>
  </si>
  <si>
    <t xml:space="preserve">Vendor</t>
  </si>
  <si>
    <t xml:space="preserve">Contract</t>
  </si>
  <si>
    <t xml:space="preserve">Note: components spanning two tracks are counted in both.</t>
  </si>
  <si>
    <t xml:space="preserve">Key counts</t>
  </si>
  <si>
    <t xml:space="preserve">Components marked NEW (in neither source deck)</t>
  </si>
  <si>
    <t xml:space="preserve">Components with Custom Build = High</t>
  </si>
  <si>
    <t xml:space="preserve">Open architecture decisions</t>
  </si>
  <si>
    <t xml:space="preserve">ID</t>
  </si>
  <si>
    <t xml:space="preserve">Plane / Group</t>
  </si>
  <si>
    <t xml:space="preserve">Component</t>
  </si>
  <si>
    <t xml:space="preserve">Design Deliverable (what to produce)</t>
  </si>
  <si>
    <t xml:space="preserve">Key Design Questions</t>
  </si>
  <si>
    <t xml:space="preserve">Depends On</t>
  </si>
  <si>
    <t xml:space="preserve">Source</t>
  </si>
  <si>
    <t xml:space="preserve">Priority</t>
  </si>
  <si>
    <t xml:space="preserve">Technology</t>
  </si>
  <si>
    <t xml:space="preserve">Custom Build</t>
  </si>
  <si>
    <t xml:space="preserve">Custom Development Scope</t>
  </si>
  <si>
    <t xml:space="preserve">Owner</t>
  </si>
  <si>
    <t xml:space="preserve">Status</t>
  </si>
  <si>
    <t xml:space="preserve">Target Date</t>
  </si>
  <si>
    <t xml:space="preserve">Notes</t>
  </si>
  <si>
    <t xml:space="preserve">SWP Platform</t>
  </si>
  <si>
    <t xml:space="preserve">Interface spec: domains, entities, extract triggers</t>
  </si>
  <si>
    <t xml:space="preserve">Which domains are in scope for phase 1?</t>
  </si>
  <si>
    <t xml:space="preserve">-</t>
  </si>
  <si>
    <t xml:space="preserve">SEI v5</t>
  </si>
  <si>
    <t xml:space="preserve">None</t>
  </si>
  <si>
    <t xml:space="preserve">SEI-owned. Specification review only.</t>
  </si>
  <si>
    <t xml:space="preserve">SWP UI</t>
  </si>
  <si>
    <t xml:space="preserve">Access model + SSO handshake spec</t>
  </si>
  <si>
    <t xml:space="preserve">Which BBH roles need UI access?</t>
  </si>
  <si>
    <t xml:space="preserve">36</t>
  </si>
  <si>
    <t xml:space="preserve">P3</t>
  </si>
  <si>
    <t xml:space="preserve">SEI-owned.</t>
  </si>
  <si>
    <t xml:space="preserve">SWP APIs</t>
  </si>
  <si>
    <t xml:space="preserve">API contract: endpoints, auth, rate limits, SLAs</t>
  </si>
  <si>
    <t xml:space="preserve">Which consumers use real-time vs batch?</t>
  </si>
  <si>
    <t xml:space="preserve">12</t>
  </si>
  <si>
    <t xml:space="preserve">SEI-owned. Consume as published.</t>
  </si>
  <si>
    <t xml:space="preserve">SWP Loaders</t>
  </si>
  <si>
    <t xml:space="preserve">Loader file format + submission/ack contract</t>
  </si>
  <si>
    <t xml:space="preserve">Sync or async ack? Failure semantics?</t>
  </si>
  <si>
    <t xml:space="preserve">10, 11</t>
  </si>
  <si>
    <t xml:space="preserve">P2</t>
  </si>
  <si>
    <t xml:space="preserve">Extract Generation</t>
  </si>
  <si>
    <t xml:space="preserve">File spec: layout, naming, manifest, EOD + intraday cadence</t>
  </si>
  <si>
    <t xml:space="preserve">Full snapshot daily, or change-indicator available?</t>
  </si>
  <si>
    <t xml:space="preserve">8</t>
  </si>
  <si>
    <t xml:space="preserve">SEI-owned. Ask for hash/change column - biggest volume lever.</t>
  </si>
  <si>
    <t xml:space="preserve">PS-Orchestration</t>
  </si>
  <si>
    <t xml:space="preserve">Orchestration API / Data Ingestion / ODM / Workflows / Config</t>
  </si>
  <si>
    <t xml:space="preserve">Outbound orchestration design (SEI-owned, BBH-reviewed)</t>
  </si>
  <si>
    <t xml:space="preserve">Is outbound in scope this phase?</t>
  </si>
  <si>
    <t xml:space="preserve">Status Monitoring Dashboard</t>
  </si>
  <si>
    <t xml:space="preserve">Status event contract to Integration360</t>
  </si>
  <si>
    <t xml:space="preserve">Does this or Integration360 hold the recon record?</t>
  </si>
  <si>
    <t xml:space="preserve">35</t>
  </si>
  <si>
    <t xml:space="preserve">Low</t>
  </si>
  <si>
    <t xml:space="preserve">Event schema agreement; no BBH build.</t>
  </si>
  <si>
    <t xml:space="preserve">Ingress/Egress</t>
  </si>
  <si>
    <t xml:space="preserve">Landing Zone + Transport</t>
  </si>
  <si>
    <t xml:space="preserve">Transport design: protocol, auth, dirs, retention, completeness signal</t>
  </si>
  <si>
    <t xml:space="preserve">sFTP or object store? Same for EOD and intraday?</t>
  </si>
  <si>
    <t xml:space="preserve">5</t>
  </si>
  <si>
    <t xml:space="preserve">Both (conflict)</t>
  </si>
  <si>
    <t xml:space="preserve">Managed service + config. Custom only for manifest/completeness check.</t>
  </si>
  <si>
    <t xml:space="preserve">File Arrival Sensors</t>
  </si>
  <si>
    <t xml:space="preserve">Per-file sensor design; start-on-arrival not batch-complete</t>
  </si>
  <si>
    <t xml:space="preserve">Manifest-driven or filename pattern?</t>
  </si>
  <si>
    <t xml:space="preserve">8, 18</t>
  </si>
  <si>
    <t xml:space="preserve">NEW</t>
  </si>
  <si>
    <t xml:space="preserve">Medium</t>
  </si>
  <si>
    <t xml:space="preserve">Custom sensor/deferrable operator per domain. Base sensors do not know your manifest.</t>
  </si>
  <si>
    <t xml:space="preserve">Outbound Producers</t>
  </si>
  <si>
    <t xml:space="preserve">Design for Data Extracts, JSON payloads, Loader File</t>
  </si>
  <si>
    <t xml:space="preserve">Which BBH systems are sources?</t>
  </si>
  <si>
    <t xml:space="preserve">43</t>
  </si>
  <si>
    <t xml:space="preserve">High</t>
  </si>
  <si>
    <t xml:space="preserve">Full custom build: extract, JSON serialisation, loader-file format per SEI spec.</t>
  </si>
  <si>
    <t xml:space="preserve">Apigee Proxy</t>
  </si>
  <si>
    <t xml:space="preserve">Proxy design: submit path + status-return path</t>
  </si>
  <si>
    <t xml:space="preserve">Is Apigee a decision or a placeholder? (AD-3)</t>
  </si>
  <si>
    <t xml:space="preserve">10, 35</t>
  </si>
  <si>
    <t xml:space="preserve">Vendor/Infra</t>
  </si>
  <si>
    <t xml:space="preserve">Proxy config + policies. No application code.</t>
  </si>
  <si>
    <t xml:space="preserve">API Gateway / Data Plane</t>
  </si>
  <si>
    <t xml:space="preserve">Real-time route design, independent of batch</t>
  </si>
  <si>
    <t xml:space="preserve">Does intraday run here or on batch? (AD-4)</t>
  </si>
  <si>
    <t xml:space="preserve">3, 42</t>
  </si>
  <si>
    <t xml:space="preserve">BBH V4.2</t>
  </si>
  <si>
    <t xml:space="preserve">Gateway config, routing, throttling policies.</t>
  </si>
  <si>
    <t xml:space="preserve">Processing</t>
  </si>
  <si>
    <t xml:space="preserve">Python Ingestion Framework</t>
  </si>
  <si>
    <t xml:space="preserve">Module design: validation, profiling, metadata capture, RAW load</t>
  </si>
  <si>
    <t xml:space="preserve">cx_Oracle vs SQL*Loader vs External Tables?</t>
  </si>
  <si>
    <t xml:space="preserve">8, 14, 23</t>
  </si>
  <si>
    <t xml:space="preserve">CORE BUILD. Reusable config-driven framework, not 7 scripts. Loader abstraction + audit column injection.</t>
  </si>
  <si>
    <t xml:space="preserve">Stage 1 RAW</t>
  </si>
  <si>
    <t xml:space="preserve">Physical model: 7 RAW_* tables, 8 audit cols, partitioning, retention</t>
  </si>
  <si>
    <t xml:space="preserve">Partition by BUSINESS_DATE? Purge policy?</t>
  </si>
  <si>
    <t xml:space="preserve">13</t>
  </si>
  <si>
    <t xml:space="preserve">DDL + partitioning. No application code.</t>
  </si>
  <si>
    <t xml:space="preserve">Stage 2 Enriched (dbt)</t>
  </si>
  <si>
    <t xml:space="preserve">5 STG2_* models, 8 processing steps, tests</t>
  </si>
  <si>
    <t xml:space="preserve">Full refresh or incremental per model?</t>
  </si>
  <si>
    <t xml:space="preserve">14, 17, 25</t>
  </si>
  <si>
    <t xml:space="preserve">Standard dbt models. Custom macros for dedup and latest-record selection.</t>
  </si>
  <si>
    <t xml:space="preserve">Gold (dbt)</t>
  </si>
  <si>
    <t xml:space="preserve">2 SCD2 dims + 3 facts; SCD2 and merge logic</t>
  </si>
  <si>
    <t xml:space="preserve">Writes to Hub schema or PBDW/IMDS direct? (AD-1)</t>
  </si>
  <si>
    <t xml:space="preserve">15, 26, 60</t>
  </si>
  <si>
    <t xml:space="preserve">SEI v5 only</t>
  </si>
  <si>
    <t xml:space="preserve">dbt snapshot will NOT cover this. Custom incremental SCD2 macro + merge strategy per fact.</t>
  </si>
  <si>
    <t xml:space="preserve">Correction Handling</t>
  </si>
  <si>
    <t xml:space="preserve">Bitemporal vs merge design, applied across Stage 2 and Gold</t>
  </si>
  <si>
    <t xml:space="preserve">One answer both layers. (AD-2)</t>
  </si>
  <si>
    <t xml:space="preserve">15, 16, 21</t>
  </si>
  <si>
    <t xml:space="preserve">No dbt idiom for bitemporal. Custom incremental strategy / macro, written once and reused.</t>
  </si>
  <si>
    <t xml:space="preserve">Orchestration</t>
  </si>
  <si>
    <t xml:space="preserve">Airflow DAG + Per-Domain Fan-out</t>
  </si>
  <si>
    <t xml:space="preserve">DAG design: 7 parallel branches, join points, retries</t>
  </si>
  <si>
    <t xml:space="preserve">Where do branches legitimately join?</t>
  </si>
  <si>
    <t xml:space="preserve">9, 51, 52</t>
  </si>
  <si>
    <t xml:space="preserve">SEI v5 + NEW</t>
  </si>
  <si>
    <t xml:space="preserve">Dynamic task mapping over domain config. Not a hand-written static DAG.</t>
  </si>
  <si>
    <t xml:space="preserve">Dim-before-Fact / dbt Threads</t>
  </si>
  <si>
    <t xml:space="preserve">Build-order and concurrency design</t>
  </si>
  <si>
    <t xml:space="preserve">Thread count vs Oracle contention ceiling?</t>
  </si>
  <si>
    <t xml:space="preserve">16, 55</t>
  </si>
  <si>
    <t xml:space="preserve">Airflow + dbt</t>
  </si>
  <si>
    <t xml:space="preserve">Selector config and thread tuning.</t>
  </si>
  <si>
    <t xml:space="preserve">Intraday Cadence Control</t>
  </si>
  <si>
    <t xml:space="preserve">Cadence design and lane assignment</t>
  </si>
  <si>
    <t xml:space="preserve">Frequency? Batch pipeline or API route? (AD-4)</t>
  </si>
  <si>
    <t xml:space="preserve">12, 18</t>
  </si>
  <si>
    <t xml:space="preserve">Custom scheduling logic; overlap prevention with the EOD run.</t>
  </si>
  <si>
    <t xml:space="preserve">Replay / Rerun Engine</t>
  </si>
  <si>
    <t xml:space="preserve">Replay design from LOAD_ID; scope, idempotency, downstream impact</t>
  </si>
  <si>
    <t xml:space="preserve">Replay rewrites Gold in place or appends? (ties to AD-2)</t>
  </si>
  <si>
    <t xml:space="preserve">14, 17, 27</t>
  </si>
  <si>
    <t xml:space="preserve">Python + Airflow</t>
  </si>
  <si>
    <t xml:space="preserve">CORE BUILD. Airflow clear/backfill does NOT undo a Gold merge. Bespoke replay orchestration + idempotency.</t>
  </si>
  <si>
    <t xml:space="preserve">Partial-Batch Policy</t>
  </si>
  <si>
    <t xml:space="preserve">Policy + implementation: halt-all vs per-domain proceed</t>
  </si>
  <si>
    <t xml:space="preserve">Can consumers tolerate a partial business date? (AD-5)</t>
  </si>
  <si>
    <t xml:space="preserve">18, 23</t>
  </si>
  <si>
    <t xml:space="preserve">Custom branching + trigger rules. Publish-completeness marker per domain.</t>
  </si>
  <si>
    <t xml:space="preserve">Data Quality</t>
  </si>
  <si>
    <t xml:space="preserve">G1 File / Structural Gate</t>
  </si>
  <si>
    <t xml:space="preserve">Check set + quarantine design. BLOCKS RAW insert</t>
  </si>
  <si>
    <t xml:space="preserve">Which failures are fatal vs warn?</t>
  </si>
  <si>
    <t xml:space="preserve">8, 13, 28</t>
  </si>
  <si>
    <t xml:space="preserve">Custom validation engine driven by the rule registry. Blocking semantics + quarantine.</t>
  </si>
  <si>
    <t xml:space="preserve">G2 RAW Profiling Gate</t>
  </si>
  <si>
    <t xml:space="preserve">Profiling checks. BLOCKS Stage 2</t>
  </si>
  <si>
    <t xml:space="preserve">Thresholds absolute or vs trailing average?</t>
  </si>
  <si>
    <t xml:space="preserve">14, 28</t>
  </si>
  <si>
    <t xml:space="preserve">Airflow + SQL</t>
  </si>
  <si>
    <t xml:space="preserve">Aggregate SQL pushed to Oracle; custom threshold comparison and branch.</t>
  </si>
  <si>
    <t xml:space="preserve">G3 dbt Tests + Business Rules</t>
  </si>
  <si>
    <t xml:space="preserve">Test suite + rule design. BLOCKS Gold</t>
  </si>
  <si>
    <t xml:space="preserve">Which rules are dbt tests vs model logic?</t>
  </si>
  <si>
    <t xml:space="preserve">15, 28</t>
  </si>
  <si>
    <t xml:space="preserve">Generic tests cover basics; custom singular tests + generic test macros for business rules.</t>
  </si>
  <si>
    <t xml:space="preserve">G4 Tie-out / Control Totals</t>
  </si>
  <si>
    <t xml:space="preserve">RAW-to-Gold reconciliation. BLOCKS Gold publish. Per-target</t>
  </si>
  <si>
    <t xml:space="preserve">Recount or compare to captured ingest metadata?</t>
  </si>
  <si>
    <t xml:space="preserve">14, 16, 28</t>
  </si>
  <si>
    <t xml:space="preserve">CORE BUILD. dbt tests cannot do this - it crosses the graph and must gate the publish.</t>
  </si>
  <si>
    <t xml:space="preserve">G5 Post-Publish Recon</t>
  </si>
  <si>
    <t xml:space="preserve">Advisory recon; triggers replay</t>
  </si>
  <si>
    <t xml:space="preserve">What auto-triggers a replay vs pages a human?</t>
  </si>
  <si>
    <t xml:space="preserve">16, 21</t>
  </si>
  <si>
    <t xml:space="preserve">Custom recon queries + replay trigger integration.</t>
  </si>
  <si>
    <t xml:space="preserve">DQ Framework</t>
  </si>
  <si>
    <t xml:space="preserve">Rule registry, severity tiers, results store, audited override path</t>
  </si>
  <si>
    <t xml:space="preserve">Who can override at 2am, and how is it logged?</t>
  </si>
  <si>
    <t xml:space="preserve">33, 31</t>
  </si>
  <si>
    <t xml:space="preserve">CORE BUILD. Registry schema, severity model, results store, override API + audit trail.</t>
  </si>
  <si>
    <t xml:space="preserve">Foundation</t>
  </si>
  <si>
    <t xml:space="preserve">Error Handling &amp; Quarantine</t>
  </si>
  <si>
    <t xml:space="preserve">Error taxonomy, quarantine store, resubmission path</t>
  </si>
  <si>
    <t xml:space="preserve">Quarantine retention and reprocessing route?</t>
  </si>
  <si>
    <t xml:space="preserve">23, 50</t>
  </si>
  <si>
    <t xml:space="preserve">Both</t>
  </si>
  <si>
    <t xml:space="preserve">Custom taxonomy + quarantine lifecycle + resubmission path.</t>
  </si>
  <si>
    <t xml:space="preserve">Reconciliation Framework</t>
  </si>
  <si>
    <t xml:space="preserve">Recon model: control totals, exception lifecycle</t>
  </si>
  <si>
    <t xml:space="preserve">Who owns the recon record? (AD-6)</t>
  </si>
  <si>
    <t xml:space="preserve">26, 27, 35</t>
  </si>
  <si>
    <t xml:space="preserve">Custom recon data model + exception lifecycle + Integration360 publication.</t>
  </si>
  <si>
    <t xml:space="preserve">Audit &amp; Lineage</t>
  </si>
  <si>
    <t xml:space="preserve">End-to-end lineage design, evidence retention</t>
  </si>
  <si>
    <t xml:space="preserve">Is lineage audit-defensible under AD-2?</t>
  </si>
  <si>
    <t xml:space="preserve">14, 17</t>
  </si>
  <si>
    <t xml:space="preserve">Python + dbt</t>
  </si>
  <si>
    <t xml:space="preserve">dbt docs covers model lineage only. Custom row-level lineage via LOAD_ID chain.</t>
  </si>
  <si>
    <t xml:space="preserve">Security &amp; Access Control</t>
  </si>
  <si>
    <t xml:space="preserve">AuthN/AuthZ model, data classification, masking</t>
  </si>
  <si>
    <t xml:space="preserve">Any PII in SWP extracts requiring masking?</t>
  </si>
  <si>
    <t xml:space="preserve">47, 48</t>
  </si>
  <si>
    <t xml:space="preserve">Oracle roles/grants + platform controls. Custom only if masking required.</t>
  </si>
  <si>
    <t xml:space="preserve">Metadata &amp; Configuration Store</t>
  </si>
  <si>
    <t xml:space="preserve">Config model: rules, thresholds, mappings, schedules</t>
  </si>
  <si>
    <t xml:space="preserve">One store, or does SEI keep its own? (risk R1)</t>
  </si>
  <si>
    <t xml:space="preserve">6, 28</t>
  </si>
  <si>
    <t xml:space="preserve">Oracle DDL + Python</t>
  </si>
  <si>
    <t xml:space="preserve">CORE BUILD. Everything config-driven depends on this. Build first.</t>
  </si>
  <si>
    <t xml:space="preserve">Observability</t>
  </si>
  <si>
    <t xml:space="preserve">Logs, metrics, traces; SLIs and alerting</t>
  </si>
  <si>
    <t xml:space="preserve">What are the SLOs for the EOD window?</t>
  </si>
  <si>
    <t xml:space="preserve">64</t>
  </si>
  <si>
    <t xml:space="preserve">Standard stack + custom metric emission from Python/Airflow.</t>
  </si>
  <si>
    <t xml:space="preserve">Integration360</t>
  </si>
  <si>
    <t xml:space="preserve">Monitoring, exception mgmt, process tracking, recon</t>
  </si>
  <si>
    <t xml:space="preserve">Does it become the system of record? (AD-6)</t>
  </si>
  <si>
    <t xml:space="preserve">7, 30</t>
  </si>
  <si>
    <t xml:space="preserve">Vendor/BBH</t>
  </si>
  <si>
    <t xml:space="preserve">Existing BBH platform. Custom feed/adapter from the Hub.</t>
  </si>
  <si>
    <t xml:space="preserve">SSO</t>
  </si>
  <si>
    <t xml:space="preserve">SSO design to SWP UI</t>
  </si>
  <si>
    <t xml:space="preserve">Federation protocol and identity source?</t>
  </si>
  <si>
    <t xml:space="preserve">2</t>
  </si>
  <si>
    <t xml:space="preserve">Configuration only.</t>
  </si>
  <si>
    <t xml:space="preserve">Consumers</t>
  </si>
  <si>
    <t xml:space="preserve">PBDW</t>
  </si>
  <si>
    <t xml:space="preserve">Publication design + change control</t>
  </si>
  <si>
    <t xml:space="preserve">Direct dbt writes or publish pattern? (AD-1)</t>
  </si>
  <si>
    <t xml:space="preserve">16, 60</t>
  </si>
  <si>
    <t xml:space="preserve">Oracle DDL + dbt</t>
  </si>
  <si>
    <t xml:space="preserve">Existing tables. Custom publish/swap pattern if AD-1 lands Hub-owned.</t>
  </si>
  <si>
    <t xml:space="preserve">IMDS Stage -&gt; IMDS</t>
  </si>
  <si>
    <t xml:space="preserve">Staging DB + load design from Stage 2</t>
  </si>
  <si>
    <t xml:space="preserve">Missing from BBH deck - confirm it exists</t>
  </si>
  <si>
    <t xml:space="preserve">15</t>
  </si>
  <si>
    <t xml:space="preserve">New staging schema + load models.</t>
  </si>
  <si>
    <t xml:space="preserve">Pivotal Database</t>
  </si>
  <si>
    <t xml:space="preserve">Feed design from Stage 2</t>
  </si>
  <si>
    <t xml:space="preserve">Absent from SEI 8-component list - scope gap</t>
  </si>
  <si>
    <t xml:space="preserve">BBH V4.2 only</t>
  </si>
  <si>
    <t xml:space="preserve">New feed. Not costed in SEI scope.</t>
  </si>
  <si>
    <t xml:space="preserve">CP DW Canonical Model</t>
  </si>
  <si>
    <t xml:space="preserve">Forward-compatibility design only (future)</t>
  </si>
  <si>
    <t xml:space="preserve">Keep Stage 2 neutral enough to attach later</t>
  </si>
  <si>
    <t xml:space="preserve">BBH V4.2 (future)</t>
  </si>
  <si>
    <t xml:space="preserve">Design only</t>
  </si>
  <si>
    <t xml:space="preserve">No build this phase. Design constraint on Stage 2 only.</t>
  </si>
  <si>
    <t xml:space="preserve">BI / Analytics</t>
  </si>
  <si>
    <t xml:space="preserve">Semantic layer + access design</t>
  </si>
  <si>
    <t xml:space="preserve">Which of ~1000 consumers land where?</t>
  </si>
  <si>
    <t xml:space="preserve">16</t>
  </si>
  <si>
    <t xml:space="preserve">BI tooling</t>
  </si>
  <si>
    <t xml:space="preserve">Power BI / Tableau models. Outside the Python/dbt stack.</t>
  </si>
  <si>
    <t xml:space="preserve">Real-time Consumers</t>
  </si>
  <si>
    <t xml:space="preserve">Consumer contract on the API lane</t>
  </si>
  <si>
    <t xml:space="preserve">Which use cases justify real-time?</t>
  </si>
  <si>
    <t xml:space="preserve">Consumer-side build, not Hub.</t>
  </si>
  <si>
    <t xml:space="preserve">BBH Existing Systems</t>
  </si>
  <si>
    <t xml:space="preserve">Impact assessment: front/back office, trade, custody</t>
  </si>
  <si>
    <t xml:space="preserve">Which are sources for outbound?</t>
  </si>
  <si>
    <t xml:space="preserve">10</t>
  </si>
  <si>
    <t xml:space="preserve">Analysis</t>
  </si>
  <si>
    <t xml:space="preserve">Assessment only this phase.</t>
  </si>
  <si>
    <t xml:space="preserve">Platform</t>
  </si>
  <si>
    <t xml:space="preserve">Projects / Namespaces</t>
  </si>
  <si>
    <t xml:space="preserve">Environment topology: dev, test, UAT, prod</t>
  </si>
  <si>
    <t xml:space="preserve">Namespace per env, or per env per component?</t>
  </si>
  <si>
    <t xml:space="preserve">Platform config.</t>
  </si>
  <si>
    <t xml:space="preserve">Container Images</t>
  </si>
  <si>
    <t xml:space="preserve">Base image standard: Python, dbt, Airflow</t>
  </si>
  <si>
    <t xml:space="preserve">Who owns base image patching cadence?</t>
  </si>
  <si>
    <t xml:space="preserve">57</t>
  </si>
  <si>
    <t xml:space="preserve">Custom Dockerfiles per runtime; dependency pinning for dbt + cx_Oracle.</t>
  </si>
  <si>
    <t xml:space="preserve">Registry, Scanning, Signing</t>
  </si>
  <si>
    <t xml:space="preserve">Image supply-chain design + promotion policy</t>
  </si>
  <si>
    <t xml:space="preserve">What CVE severity blocks promotion?</t>
  </si>
  <si>
    <t xml:space="preserve">45, 57</t>
  </si>
  <si>
    <t xml:space="preserve">Tooling config.</t>
  </si>
  <si>
    <t xml:space="preserve">Service Accounts, RBAC, SCCs</t>
  </si>
  <si>
    <t xml:space="preserve">Cluster access model</t>
  </si>
  <si>
    <t xml:space="preserve">Least-privilege per workload?</t>
  </si>
  <si>
    <t xml:space="preserve">32</t>
  </si>
  <si>
    <t xml:space="preserve">Secrets Management</t>
  </si>
  <si>
    <t xml:space="preserve">Secrets design: Oracle creds, sFTP keys, API tokens</t>
  </si>
  <si>
    <t xml:space="preserve">Vault or sealed secrets? Rotation policy?</t>
  </si>
  <si>
    <t xml:space="preserve">Config + custom secret injection into Airflow connections.</t>
  </si>
  <si>
    <t xml:space="preserve">Network Policy &amp; Egress</t>
  </si>
  <si>
    <t xml:space="preserve">Egress to SEI/Apigee/Oracle; ingress rules</t>
  </si>
  <si>
    <t xml:space="preserve">Firewall path to SEI approved?</t>
  </si>
  <si>
    <t xml:space="preserve">8, 11</t>
  </si>
  <si>
    <t xml:space="preserve">Network config. Long lead time - start early.</t>
  </si>
  <si>
    <t xml:space="preserve">Persistent Storage</t>
  </si>
  <si>
    <t xml:space="preserve">Volume design: landing, quarantine, dbt artifacts, logs</t>
  </si>
  <si>
    <t xml:space="preserve">Capacity for retention window?</t>
  </si>
  <si>
    <t xml:space="preserve">8, 29</t>
  </si>
  <si>
    <t xml:space="preserve">Storage class + PVC config.</t>
  </si>
  <si>
    <t xml:space="preserve">Runtime</t>
  </si>
  <si>
    <t xml:space="preserve">Airflow Deployment</t>
  </si>
  <si>
    <t xml:space="preserve">Scheduler HA, KubernetesExecutor, pod operator design</t>
  </si>
  <si>
    <t xml:space="preserve">HA scheduler required for the window?</t>
  </si>
  <si>
    <t xml:space="preserve">18</t>
  </si>
  <si>
    <t xml:space="preserve">Infra + Airflow</t>
  </si>
  <si>
    <t xml:space="preserve">Helm values + custom pod templates per task type.</t>
  </si>
  <si>
    <t xml:space="preserve">Worker Pod Autoscaling</t>
  </si>
  <si>
    <t xml:space="preserve">Autoscaling design sized to the fan-out</t>
  </si>
  <si>
    <t xml:space="preserve">Max concurrency before Oracle contention?</t>
  </si>
  <si>
    <t xml:space="preserve">18, 55</t>
  </si>
  <si>
    <t xml:space="preserve">HPA/KEDA config. Requires the measurement from item 55.</t>
  </si>
  <si>
    <t xml:space="preserve">Resource Quotas &amp; Priority</t>
  </si>
  <si>
    <t xml:space="preserve">Requests/limits, quotas, priority classes for EOD</t>
  </si>
  <si>
    <t xml:space="preserve">Does batch preempt other workloads?</t>
  </si>
  <si>
    <t xml:space="preserve">52</t>
  </si>
  <si>
    <t xml:space="preserve">Warm-start / Pre-pulled Images</t>
  </si>
  <si>
    <t xml:space="preserve">Cold-start mitigation design</t>
  </si>
  <si>
    <t xml:space="preserve">Cold start cost vs the 5-min window?</t>
  </si>
  <si>
    <t xml:space="preserve">45, 52</t>
  </si>
  <si>
    <t xml:space="preserve">Image pre-pull / slim images. Measure first.</t>
  </si>
  <si>
    <t xml:space="preserve">Oracle Connection Pooling</t>
  </si>
  <si>
    <t xml:space="preserve">Pooling design; the real parallelism ceiling</t>
  </si>
  <si>
    <t xml:space="preserve">Max sessions DBA will grant?</t>
  </si>
  <si>
    <t xml:space="preserve">13, 52</t>
  </si>
  <si>
    <t xml:space="preserve">Python + Infra</t>
  </si>
  <si>
    <t xml:space="preserve">Custom pool management in the ingestion framework. Sets the fan-out ceiling.</t>
  </si>
  <si>
    <t xml:space="preserve">Node Placement</t>
  </si>
  <si>
    <t xml:space="preserve">Taints/affinity: batch burst vs always-on API</t>
  </si>
  <si>
    <t xml:space="preserve">Dedicated nodes for the real-time lane?</t>
  </si>
  <si>
    <t xml:space="preserve">12, 52</t>
  </si>
  <si>
    <t xml:space="preserve">Scheduling config.</t>
  </si>
  <si>
    <t xml:space="preserve">Deployment</t>
  </si>
  <si>
    <t xml:space="preserve">CI/CD Pipelines</t>
  </si>
  <si>
    <t xml:space="preserve">Build, test, scan, promote pipeline design</t>
  </si>
  <si>
    <t xml:space="preserve">Pipeline per component or monorepo?</t>
  </si>
  <si>
    <t xml:space="preserve">45, 46</t>
  </si>
  <si>
    <t xml:space="preserve">Custom pipelines: Python unit tests, dbt compile/test in CI against a test schema.</t>
  </si>
  <si>
    <t xml:space="preserve">GitOps / ArgoCD</t>
  </si>
  <si>
    <t xml:space="preserve">Manifest promotion and drift control</t>
  </si>
  <si>
    <t xml:space="preserve">Environment promotion gates?</t>
  </si>
  <si>
    <t xml:space="preserve">44, 57</t>
  </si>
  <si>
    <t xml:space="preserve">Standard GitOps config.</t>
  </si>
  <si>
    <t xml:space="preserve">dbt Release &amp; Rollback</t>
  </si>
  <si>
    <t xml:space="preserve">dbt versioning, release cadence, rollback design</t>
  </si>
  <si>
    <t xml:space="preserve">Rollback of an SCD2 dim - how?</t>
  </si>
  <si>
    <t xml:space="preserve">dbt + CI/CD</t>
  </si>
  <si>
    <t xml:space="preserve">No native rollback for a merged SCD2 dim. Custom restore path tied to the replay engine.</t>
  </si>
  <si>
    <t xml:space="preserve">Database Change Management</t>
  </si>
  <si>
    <t xml:space="preserve">DDL control for RAW/STG2/Gold + PBDW/IMDS</t>
  </si>
  <si>
    <t xml:space="preserve">Does Gold sit inside BBH prod change control? (AD-1)</t>
  </si>
  <si>
    <t xml:space="preserve">16, 37</t>
  </si>
  <si>
    <t xml:space="preserve">Process + DDL</t>
  </si>
  <si>
    <t xml:space="preserve">Process design + migration tooling.</t>
  </si>
  <si>
    <t xml:space="preserve">Blue-Green / Canary (API lane)</t>
  </si>
  <si>
    <t xml:space="preserve">Zero-downtime release design for real-time</t>
  </si>
  <si>
    <t xml:space="preserve">Needed for phase 1 or later?</t>
  </si>
  <si>
    <t xml:space="preserve">Platform capability.</t>
  </si>
  <si>
    <t xml:space="preserve">Operations</t>
  </si>
  <si>
    <t xml:space="preserve">HA / DR</t>
  </si>
  <si>
    <t xml:space="preserve">DR topology, RTO/RPO for the batch window</t>
  </si>
  <si>
    <t xml:space="preserve">What is the agreed RTO/RPO?</t>
  </si>
  <si>
    <t xml:space="preserve">44</t>
  </si>
  <si>
    <t xml:space="preserve">Topology design + runbook.</t>
  </si>
  <si>
    <t xml:space="preserve">Backup &amp; Restore</t>
  </si>
  <si>
    <t xml:space="preserve">Airflow metadata DB, config store, quarantine volumes</t>
  </si>
  <si>
    <t xml:space="preserve">Restore tested how often?</t>
  </si>
  <si>
    <t xml:space="preserve">33, 50</t>
  </si>
  <si>
    <t xml:space="preserve">Backup tooling config.</t>
  </si>
  <si>
    <t xml:space="preserve">Monitoring Stack</t>
  </si>
  <si>
    <t xml:space="preserve">Prometheus/Grafana/log aggregation wired into item 34</t>
  </si>
  <si>
    <t xml:space="preserve">One stack, not a parallel one - confirm</t>
  </si>
  <si>
    <t xml:space="preserve">34</t>
  </si>
  <si>
    <t xml:space="preserve">Dashboards + alert rules.</t>
  </si>
  <si>
    <t xml:space="preserve">Cost &amp; Capacity Monitoring</t>
  </si>
  <si>
    <t xml:space="preserve">Capacity model for a sharply peaked EOD burst</t>
  </si>
  <si>
    <t xml:space="preserve">Peak-to-average ratio acceptable?</t>
  </si>
  <si>
    <t xml:space="preserve">52, 53</t>
  </si>
  <si>
    <t xml:space="preserve">LEGEND / HOW TO USE</t>
  </si>
  <si>
    <t xml:space="preserve">Engineers fill in the yellow columns only: Owner (M), Status (N), Target Date (O), Notes (P). Columns A-L are the agreed scope baseline - raise a change request rather than editing them.</t>
  </si>
  <si>
    <t xml:space="preserve">Status values: Not Started / In Design / In Review / Approved / Blocked.</t>
  </si>
  <si>
    <t xml:space="preserve">Technology: Python | dbt | Airflow | Oracle DDL | Infra | CI/CD | Vendor | Contract | Analysis. Combined values mean the component spans two tracks.</t>
  </si>
  <si>
    <t xml:space="preserve">Custom Build: High = bespoke engineering, no framework default covers it (design doc mandatory before code). Medium = framework plus custom macros/operators. Low = mostly configuration. None = no build in this phase.</t>
  </si>
  <si>
    <t xml:space="preserve">Source: 'SEI v5' / 'BBH V4.2' = one deck only. 'Both' = agreed. 'Both (conflict)' = decks disagree, read Decisions tab. 'NEW' = in neither deck; scope addition needing approval.</t>
  </si>
  <si>
    <t xml:space="preserve">AD-1..AD-12 in Key Design Questions are the open architecture decisions on the Decisions tab. A component citing an open AD cannot be finalised until that AD closes.</t>
  </si>
  <si>
    <t xml:space="preserve">Example row: | 13 | 2. Hub | Processing | Python Ingestion Framework | Module design... | | 8, 14, 23 | SEI v5 | P1 | Python | High | CORE BUILD... | A. Sharma | In Design | 2026-09-15 | Framework skeleton drafted |</t>
  </si>
  <si>
    <t xml:space="preserve">Decision</t>
  </si>
  <si>
    <t xml:space="preserve">SEI v5 position</t>
  </si>
  <si>
    <t xml:space="preserve">BBH V4.2 position</t>
  </si>
  <si>
    <t xml:space="preserve">Consequence if unresolved</t>
  </si>
  <si>
    <t xml:space="preserve">Blocks components</t>
  </si>
  <si>
    <t xml:space="preserve">Recommendation</t>
  </si>
  <si>
    <t xml:space="preserve">AD-1</t>
  </si>
  <si>
    <t xml:space="preserve">Gold write target: Hub-owned schema vs PBDW/IMDS direct</t>
  </si>
  <si>
    <t xml:space="preserve">Gold materialised into existing Oracle DW tables</t>
  </si>
  <si>
    <t xml:space="preserve">No Gold layer; Stage 2 feeds consumers</t>
  </si>
  <si>
    <t xml:space="preserve">dbt writes production schemas; blast radius and change control shift</t>
  </si>
  <si>
    <t xml:space="preserve">16, 37, 60</t>
  </si>
  <si>
    <t xml:space="preserve">Hub-owned Gold schema that publishes</t>
  </si>
  <si>
    <t xml:space="preserve">Open</t>
  </si>
  <si>
    <t xml:space="preserve">AD-2</t>
  </si>
  <si>
    <t xml:space="preserve">Corrections: in-place merge vs bitemporal append</t>
  </si>
  <si>
    <t xml:space="preserve">Merge (update existing) on facts</t>
  </si>
  <si>
    <t xml:space="preserve">Bitemporal handling held in Stage 2</t>
  </si>
  <si>
    <t xml:space="preserve">Merge destroys history; breaks as-of restatement and replay</t>
  </si>
  <si>
    <t xml:space="preserve">17, 21, 31, 59</t>
  </si>
  <si>
    <t xml:space="preserve">Bitemporal append with as-of resolution</t>
  </si>
  <si>
    <t xml:space="preserve">AD-3</t>
  </si>
  <si>
    <t xml:space="preserve">Apigee: firm decision or placeholder</t>
  </si>
  <si>
    <t xml:space="preserve">BBH runs an Apigee proxy (two nodes)</t>
  </si>
  <si>
    <t xml:space="preserve">Vendor-neutral 'API Gateway / Data Plane'</t>
  </si>
  <si>
    <t xml:space="preserve">SEI presumes a BBH decision</t>
  </si>
  <si>
    <t xml:space="preserve">11, 12</t>
  </si>
  <si>
    <t xml:space="preserve">Pin explicitly or correct SEI diagram</t>
  </si>
  <si>
    <t xml:space="preserve">AD-4</t>
  </si>
  <si>
    <t xml:space="preserve">Intraday: batch pipeline or real-time lane</t>
  </si>
  <si>
    <t xml:space="preserve">In scope, identical flow to EOD</t>
  </si>
  <si>
    <t xml:space="preserve">Batch lane annotated EOD only</t>
  </si>
  <si>
    <t xml:space="preserve">Window sizing and cadence undefined</t>
  </si>
  <si>
    <t xml:space="preserve">12, 20</t>
  </si>
  <si>
    <t xml:space="preserve">Decide one lane; not both</t>
  </si>
  <si>
    <t xml:space="preserve">AD-5</t>
  </si>
  <si>
    <t xml:space="preserve">Partial batch: halt-all vs per-domain proceed</t>
  </si>
  <si>
    <t xml:space="preserve">Not addressed</t>
  </si>
  <si>
    <t xml:space="preserve">Undefined behaviour on single-file failure</t>
  </si>
  <si>
    <t xml:space="preserve">18, 22</t>
  </si>
  <si>
    <t xml:space="preserve">Halt-all until measured, then relax</t>
  </si>
  <si>
    <t xml:space="preserve">AD-6</t>
  </si>
  <si>
    <t xml:space="preserve">Monitoring system of record</t>
  </si>
  <si>
    <t xml:space="preserve">SEI Status Dashboard AND Integration360</t>
  </si>
  <si>
    <t xml:space="preserve">Integration360 as cross-cutting capability</t>
  </si>
  <si>
    <t xml:space="preserve">Two dashboards, no single truth</t>
  </si>
  <si>
    <t xml:space="preserve">7, 30, 35</t>
  </si>
  <si>
    <t xml:space="preserve">Integration360 as recon system of record</t>
  </si>
  <si>
    <t xml:space="preserve">AD-7</t>
  </si>
  <si>
    <t xml:space="preserve">Stage 1 ingestion technology</t>
  </si>
  <si>
    <t xml:space="preserve">Python (cx_Oracle / SQL*Loader / External Tables)</t>
  </si>
  <si>
    <t xml:space="preserve">Arrow labelled dbt</t>
  </si>
  <si>
    <t xml:space="preserve">BBH slide is wrong; fix before it is quoted</t>
  </si>
  <si>
    <t xml:space="preserve">DECIDED: Python. Correct BBH slide</t>
  </si>
  <si>
    <t xml:space="preserve">AD-8</t>
  </si>
  <si>
    <t xml:space="preserve">RAW immutability</t>
  </si>
  <si>
    <t xml:space="preserve">Immutable, append only</t>
  </si>
  <si>
    <t xml:space="preserve">Source as delivered</t>
  </si>
  <si>
    <t xml:space="preserve">14, 21</t>
  </si>
  <si>
    <t xml:space="preserve">DECIDED: immutable append-only</t>
  </si>
  <si>
    <t xml:space="preserve">AD-9</t>
  </si>
  <si>
    <t xml:space="preserve">DQ gates blocking vs advisory</t>
  </si>
  <si>
    <t xml:space="preserve">DQ check drawn after Gold</t>
  </si>
  <si>
    <t xml:space="preserve">Recon &amp; error handling, unspecified</t>
  </si>
  <si>
    <t xml:space="preserve">Post-Gold check blocks nothing; bad data already published</t>
  </si>
  <si>
    <t xml:space="preserve">23-28</t>
  </si>
  <si>
    <t xml:space="preserve">DECIDED: blocking, with G4 before publish</t>
  </si>
  <si>
    <t xml:space="preserve">AD-10</t>
  </si>
  <si>
    <t xml:space="preserve">Transport protocol</t>
  </si>
  <si>
    <t xml:space="preserve">Unspecified</t>
  </si>
  <si>
    <t xml:space="preserve">sFTP reception at Landing Zone</t>
  </si>
  <si>
    <t xml:space="preserve">BBH has committed further than SEI</t>
  </si>
  <si>
    <t xml:space="preserve">8, 49</t>
  </si>
  <si>
    <t xml:space="preserve">Confirm sFTP or agree alternative</t>
  </si>
  <si>
    <t xml:space="preserve">AD-11</t>
  </si>
  <si>
    <t xml:space="preserve">Outbound scope this phase</t>
  </si>
  <si>
    <t xml:space="preserve">Fully diagrammed</t>
  </si>
  <si>
    <t xml:space="preserve">Absent entirely</t>
  </si>
  <si>
    <t xml:space="preserve">Build expectation mismatch</t>
  </si>
  <si>
    <t xml:space="preserve">6, 10, 11</t>
  </si>
  <si>
    <t xml:space="preserve">State in or explicitly out of scope</t>
  </si>
  <si>
    <t xml:space="preserve">AD-12</t>
  </si>
  <si>
    <t xml:space="preserve">Pivotal in scope</t>
  </si>
  <si>
    <t xml:space="preserve">Not in the 8-component inbound list</t>
  </si>
  <si>
    <t xml:space="preserve">Named consumer of Stage 2</t>
  </si>
  <si>
    <t xml:space="preserve">Scope gap on the SEI side</t>
  </si>
  <si>
    <t xml:space="preserve">39</t>
  </si>
  <si>
    <t xml:space="preserve">Add to SEI scope or drop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</si>
</sst>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E2F3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7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customFormat="false" ht="15" hidden="false" customHeight="false" outlineLevel="0" collapsed="false">
      <c r="A7" s="5" t="s">
        <v>11</v>
      </c>
      <c r="B7" s="5" t="n">
        <f aca="false">COUNTIF(Components!$B$2:$B$66,$A7)</f>
        <v>7</v>
      </c>
      <c r="C7" s="5" t="n">
        <f aca="false">COUNTIFS(Components!$B$2:$B$66,$A7,Components!$I$2:$I$66,"P1")</f>
        <v>3</v>
      </c>
      <c r="D7" s="5" t="n">
        <f aca="false">COUNTIFS(Components!$B$2:$B$66,$A7,Components!$K$2:$K$66,"High")</f>
        <v>0</v>
      </c>
      <c r="E7" s="5" t="n">
        <f aca="false">COUNTIFS(Components!$B$2:$B$66,$A7,Components!$N$2:$N$66,"Not Started")</f>
        <v>7</v>
      </c>
      <c r="F7" s="5" t="n">
        <f aca="false">COUNTIFS(Components!$B$2:$B$66,$A7,Components!$N$2:$N$66,"In Design")</f>
        <v>0</v>
      </c>
      <c r="G7" s="5" t="n">
        <f aca="false">COUNTIFS(Components!$B$2:$B$66,$A7,Components!$N$2:$N$66,"Approved")</f>
        <v>0</v>
      </c>
    </row>
    <row r="8" customFormat="false" ht="15" hidden="false" customHeight="false" outlineLevel="0" collapsed="false">
      <c r="A8" s="5" t="s">
        <v>12</v>
      </c>
      <c r="B8" s="5" t="n">
        <f aca="false">COUNTIF(Components!$B$2:$B$66,$A8)</f>
        <v>29</v>
      </c>
      <c r="C8" s="5" t="n">
        <f aca="false">COUNTIFS(Components!$B$2:$B$66,$A8,Components!$I$2:$I$66,"P1")</f>
        <v>21</v>
      </c>
      <c r="D8" s="5" t="n">
        <f aca="false">COUNTIFS(Components!$B$2:$B$66,$A8,Components!$K$2:$K$66,"High")</f>
        <v>12</v>
      </c>
      <c r="E8" s="5" t="n">
        <f aca="false">COUNTIFS(Components!$B$2:$B$66,$A8,Components!$N$2:$N$66,"Not Started")</f>
        <v>29</v>
      </c>
      <c r="F8" s="5" t="n">
        <f aca="false">COUNTIFS(Components!$B$2:$B$66,$A8,Components!$N$2:$N$66,"In Design")</f>
        <v>0</v>
      </c>
      <c r="G8" s="5" t="n">
        <f aca="false">COUNTIFS(Components!$B$2:$B$66,$A8,Components!$N$2:$N$66,"Approved")</f>
        <v>0</v>
      </c>
    </row>
    <row r="9" customFormat="false" ht="15" hidden="false" customHeight="false" outlineLevel="0" collapsed="false">
      <c r="A9" s="5" t="s">
        <v>13</v>
      </c>
      <c r="B9" s="5" t="n">
        <f aca="false">COUNTIF(Components!$B$2:$B$66,$A9)</f>
        <v>7</v>
      </c>
      <c r="C9" s="5" t="n">
        <f aca="false">COUNTIFS(Components!$B$2:$B$66,$A9,Components!$I$2:$I$66,"P1")</f>
        <v>1</v>
      </c>
      <c r="D9" s="5" t="n">
        <f aca="false">COUNTIFS(Components!$B$2:$B$66,$A9,Components!$K$2:$K$66,"High")</f>
        <v>0</v>
      </c>
      <c r="E9" s="5" t="n">
        <f aca="false">COUNTIFS(Components!$B$2:$B$66,$A9,Components!$N$2:$N$66,"Not Started")</f>
        <v>7</v>
      </c>
      <c r="F9" s="5" t="n">
        <f aca="false">COUNTIFS(Components!$B$2:$B$66,$A9,Components!$N$2:$N$66,"In Design")</f>
        <v>0</v>
      </c>
      <c r="G9" s="5" t="n">
        <f aca="false">COUNTIFS(Components!$B$2:$B$66,$A9,Components!$N$2:$N$66,"Approved")</f>
        <v>0</v>
      </c>
    </row>
    <row r="10" customFormat="false" ht="15" hidden="false" customHeight="false" outlineLevel="0" collapsed="false">
      <c r="A10" s="5" t="s">
        <v>14</v>
      </c>
      <c r="B10" s="5" t="n">
        <f aca="false">COUNTIF(Components!$B$2:$B$66,$A10)</f>
        <v>22</v>
      </c>
      <c r="C10" s="5" t="n">
        <f aca="false">COUNTIFS(Components!$B$2:$B$66,$A10,Components!$I$2:$I$66,"P1")</f>
        <v>11</v>
      </c>
      <c r="D10" s="5" t="n">
        <f aca="false">COUNTIFS(Components!$B$2:$B$66,$A10,Components!$K$2:$K$66,"High")</f>
        <v>1</v>
      </c>
      <c r="E10" s="5" t="n">
        <f aca="false">COUNTIFS(Components!$B$2:$B$66,$A10,Components!$N$2:$N$66,"Not Started")</f>
        <v>22</v>
      </c>
      <c r="F10" s="5" t="n">
        <f aca="false">COUNTIFS(Components!$B$2:$B$66,$A10,Components!$N$2:$N$66,"In Design")</f>
        <v>0</v>
      </c>
      <c r="G10" s="5" t="n">
        <f aca="false">COUNTIFS(Components!$B$2:$B$66,$A10,Components!$N$2:$N$66,"Approved")</f>
        <v>0</v>
      </c>
    </row>
    <row r="11" customFormat="false" ht="15" hidden="false" customHeight="false" outlineLevel="0" collapsed="false">
      <c r="A11" s="6" t="s">
        <v>15</v>
      </c>
      <c r="B11" s="6" t="n">
        <f aca="false">SUM(B7:B10)</f>
        <v>65</v>
      </c>
      <c r="C11" s="6" t="n">
        <f aca="false">SUM(C7:C10)</f>
        <v>36</v>
      </c>
      <c r="D11" s="6" t="n">
        <f aca="false">SUM(D7:D10)</f>
        <v>13</v>
      </c>
      <c r="E11" s="6" t="n">
        <f aca="false">SUM(E7:E10)</f>
        <v>65</v>
      </c>
      <c r="F11" s="6" t="n">
        <f aca="false">SUM(F7:F10)</f>
        <v>0</v>
      </c>
      <c r="G11" s="6" t="n">
        <f aca="false">SUM(G7:G10)</f>
        <v>0</v>
      </c>
    </row>
    <row r="13" customFormat="false" ht="15" hidden="false" customHeight="false" outlineLevel="0" collapsed="false">
      <c r="A13" s="3" t="s">
        <v>16</v>
      </c>
    </row>
    <row r="14" customFormat="false" ht="15" hidden="false" customHeight="false" outlineLevel="0" collapsed="false">
      <c r="A14" s="4" t="s">
        <v>17</v>
      </c>
      <c r="B14" s="4" t="s">
        <v>5</v>
      </c>
      <c r="C14" s="4" t="s">
        <v>7</v>
      </c>
    </row>
    <row r="15" customFormat="false" ht="15" hidden="false" customHeight="false" outlineLevel="0" collapsed="false">
      <c r="A15" s="5" t="s">
        <v>18</v>
      </c>
      <c r="B15" s="5" t="n">
        <f aca="false">COUNTIF(Components!$J$2:$J$66,"*"&amp;$A15&amp;"*")</f>
        <v>10</v>
      </c>
      <c r="C15" s="5" t="n">
        <f aca="false">COUNTIFS(Components!$J$2:$J$66,"*"&amp;$A15&amp;"*",Components!$K$2:$K$66,"High")</f>
        <v>8</v>
      </c>
    </row>
    <row r="16" customFormat="false" ht="15" hidden="false" customHeight="false" outlineLevel="0" collapsed="false">
      <c r="A16" s="5" t="s">
        <v>19</v>
      </c>
      <c r="B16" s="5" t="n">
        <f aca="false">COUNTIF(Components!$J$2:$J$66,"*"&amp;$A16&amp;"*")</f>
        <v>10</v>
      </c>
      <c r="C16" s="5" t="n">
        <f aca="false">COUNTIFS(Components!$J$2:$J$66,"*"&amp;$A16&amp;"*",Components!$K$2:$K$66,"High")</f>
        <v>3</v>
      </c>
    </row>
    <row r="17" customFormat="false" ht="15" hidden="false" customHeight="false" outlineLevel="0" collapsed="false">
      <c r="A17" s="5" t="s">
        <v>20</v>
      </c>
      <c r="B17" s="5" t="n">
        <f aca="false">COUNTIF(Components!$J$2:$J$66,"*"&amp;$A17&amp;"*")</f>
        <v>10</v>
      </c>
      <c r="C17" s="5" t="n">
        <f aca="false">COUNTIFS(Components!$J$2:$J$66,"*"&amp;$A17&amp;"*",Components!$K$2:$K$66,"High")</f>
        <v>3</v>
      </c>
    </row>
    <row r="18" customFormat="false" ht="15" hidden="false" customHeight="false" outlineLevel="0" collapsed="false">
      <c r="A18" s="5" t="s">
        <v>21</v>
      </c>
      <c r="B18" s="5" t="n">
        <f aca="false">COUNTIF(Components!$J$2:$J$66,"*"&amp;$A18&amp;"*")</f>
        <v>4</v>
      </c>
      <c r="C18" s="5" t="n">
        <f aca="false">COUNTIFS(Components!$J$2:$J$66,"*"&amp;$A18&amp;"*",Components!$K$2:$K$66,"High")</f>
        <v>1</v>
      </c>
    </row>
    <row r="19" customFormat="false" ht="15" hidden="false" customHeight="false" outlineLevel="0" collapsed="false">
      <c r="A19" s="5" t="s">
        <v>22</v>
      </c>
      <c r="B19" s="5" t="n">
        <f aca="false">COUNTIF(Components!$J$2:$J$66,"*"&amp;$A19&amp;"*")</f>
        <v>24</v>
      </c>
      <c r="C19" s="5" t="n">
        <f aca="false">COUNTIFS(Components!$J$2:$J$66,"*"&amp;$A19&amp;"*",Components!$K$2:$K$66,"High")</f>
        <v>0</v>
      </c>
    </row>
    <row r="20" customFormat="false" ht="15" hidden="false" customHeight="false" outlineLevel="0" collapsed="false">
      <c r="A20" s="5" t="s">
        <v>23</v>
      </c>
      <c r="B20" s="5" t="n">
        <f aca="false">COUNTIF(Components!$J$2:$J$66,"*"&amp;$A20&amp;"*")</f>
        <v>3</v>
      </c>
      <c r="C20" s="5" t="n">
        <f aca="false">COUNTIFS(Components!$J$2:$J$66,"*"&amp;$A20&amp;"*",Components!$K$2:$K$66,"High")</f>
        <v>1</v>
      </c>
    </row>
    <row r="21" customFormat="false" ht="15" hidden="false" customHeight="false" outlineLevel="0" collapsed="false">
      <c r="A21" s="5" t="s">
        <v>24</v>
      </c>
      <c r="B21" s="5" t="n">
        <f aca="false">COUNTIF(Components!$J$2:$J$66,"*"&amp;$A21&amp;"*")</f>
        <v>3</v>
      </c>
      <c r="C21" s="5" t="n">
        <f aca="false">COUNTIFS(Components!$J$2:$J$66,"*"&amp;$A21&amp;"*",Components!$K$2:$K$66,"High")</f>
        <v>0</v>
      </c>
    </row>
    <row r="22" customFormat="false" ht="15" hidden="false" customHeight="false" outlineLevel="0" collapsed="false">
      <c r="A22" s="5" t="s">
        <v>25</v>
      </c>
      <c r="B22" s="5" t="n">
        <f aca="false">COUNTIF(Components!$J$2:$J$66,"*"&amp;$A22&amp;"*")</f>
        <v>8</v>
      </c>
      <c r="C22" s="5" t="n">
        <f aca="false">COUNTIFS(Components!$J$2:$J$66,"*"&amp;$A22&amp;"*",Components!$K$2:$K$66,"High")</f>
        <v>0</v>
      </c>
    </row>
    <row r="23" customFormat="false" ht="15" hidden="false" customHeight="false" outlineLevel="0" collapsed="false">
      <c r="A23" s="7" t="s">
        <v>26</v>
      </c>
    </row>
    <row r="25" customFormat="false" ht="15" hidden="false" customHeight="false" outlineLevel="0" collapsed="false">
      <c r="A25" s="3" t="s">
        <v>27</v>
      </c>
    </row>
    <row r="26" customFormat="false" ht="15" hidden="false" customHeight="false" outlineLevel="0" collapsed="false">
      <c r="A26" s="8" t="s">
        <v>28</v>
      </c>
      <c r="B26" s="8" t="n">
        <f aca="false">COUNTIF(Components!$H$2:$H$66,"NEW")</f>
        <v>28</v>
      </c>
    </row>
    <row r="27" customFormat="false" ht="15" hidden="false" customHeight="false" outlineLevel="0" collapsed="false">
      <c r="A27" s="8" t="s">
        <v>29</v>
      </c>
      <c r="B27" s="8" t="n">
        <f aca="false">COUNTIF(Components!$K$2:$K$66,"High")</f>
        <v>13</v>
      </c>
    </row>
    <row r="28" customFormat="false" ht="15" hidden="false" customHeight="false" outlineLevel="0" collapsed="false">
      <c r="A28" s="8" t="s">
        <v>30</v>
      </c>
      <c r="B28" s="8" t="n">
        <f aca="false">COUNTIF(Decisions!$I$2:$I$13,"Open")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38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8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46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26"/>
  </cols>
  <sheetData>
    <row r="1" customFormat="false" ht="39.75" hidden="false" customHeight="true" outlineLevel="0" collapsed="false">
      <c r="A1" s="9" t="s">
        <v>31</v>
      </c>
      <c r="B1" s="9" t="s">
        <v>4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43</v>
      </c>
      <c r="O1" s="9" t="s">
        <v>44</v>
      </c>
      <c r="P1" s="9" t="s">
        <v>45</v>
      </c>
    </row>
    <row r="2" customFormat="false" ht="15" hidden="false" customHeight="false" outlineLevel="0" collapsed="false">
      <c r="A2" s="10" t="n">
        <v>1</v>
      </c>
      <c r="B2" s="10" t="s">
        <v>11</v>
      </c>
      <c r="C2" s="10" t="s">
        <v>37</v>
      </c>
      <c r="D2" s="10" t="s">
        <v>46</v>
      </c>
      <c r="E2" s="10" t="s">
        <v>47</v>
      </c>
      <c r="F2" s="10" t="s">
        <v>48</v>
      </c>
      <c r="G2" s="10" t="s">
        <v>49</v>
      </c>
      <c r="H2" s="10" t="s">
        <v>50</v>
      </c>
      <c r="I2" s="10" t="s">
        <v>6</v>
      </c>
      <c r="J2" s="10" t="s">
        <v>25</v>
      </c>
      <c r="K2" s="10" t="s">
        <v>51</v>
      </c>
      <c r="L2" s="10" t="s">
        <v>52</v>
      </c>
      <c r="M2" s="11"/>
      <c r="N2" s="11" t="s">
        <v>8</v>
      </c>
      <c r="O2" s="11"/>
      <c r="P2" s="11"/>
    </row>
    <row r="3" customFormat="false" ht="15" hidden="false" customHeight="false" outlineLevel="0" collapsed="false">
      <c r="A3" s="10" t="n">
        <v>2</v>
      </c>
      <c r="B3" s="10" t="s">
        <v>11</v>
      </c>
      <c r="C3" s="10" t="s">
        <v>37</v>
      </c>
      <c r="D3" s="10" t="s">
        <v>53</v>
      </c>
      <c r="E3" s="10" t="s">
        <v>54</v>
      </c>
      <c r="F3" s="10" t="s">
        <v>55</v>
      </c>
      <c r="G3" s="10" t="s">
        <v>56</v>
      </c>
      <c r="H3" s="10" t="s">
        <v>50</v>
      </c>
      <c r="I3" s="10" t="s">
        <v>57</v>
      </c>
      <c r="J3" s="10" t="s">
        <v>25</v>
      </c>
      <c r="K3" s="10" t="s">
        <v>51</v>
      </c>
      <c r="L3" s="10" t="s">
        <v>58</v>
      </c>
      <c r="M3" s="11"/>
      <c r="N3" s="11" t="s">
        <v>8</v>
      </c>
      <c r="O3" s="11"/>
      <c r="P3" s="11"/>
    </row>
    <row r="4" customFormat="false" ht="15" hidden="false" customHeight="false" outlineLevel="0" collapsed="false">
      <c r="A4" s="10" t="n">
        <v>3</v>
      </c>
      <c r="B4" s="10" t="s">
        <v>11</v>
      </c>
      <c r="C4" s="10" t="s">
        <v>37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50</v>
      </c>
      <c r="I4" s="10" t="s">
        <v>6</v>
      </c>
      <c r="J4" s="10" t="s">
        <v>25</v>
      </c>
      <c r="K4" s="10" t="s">
        <v>51</v>
      </c>
      <c r="L4" s="10" t="s">
        <v>63</v>
      </c>
      <c r="M4" s="11"/>
      <c r="N4" s="11" t="s">
        <v>8</v>
      </c>
      <c r="O4" s="11"/>
      <c r="P4" s="11"/>
    </row>
    <row r="5" customFormat="false" ht="15" hidden="false" customHeight="false" outlineLevel="0" collapsed="false">
      <c r="A5" s="10" t="n">
        <v>4</v>
      </c>
      <c r="B5" s="10" t="s">
        <v>11</v>
      </c>
      <c r="C5" s="10" t="s">
        <v>37</v>
      </c>
      <c r="D5" s="10" t="s">
        <v>64</v>
      </c>
      <c r="E5" s="10" t="s">
        <v>65</v>
      </c>
      <c r="F5" s="10" t="s">
        <v>66</v>
      </c>
      <c r="G5" s="10" t="s">
        <v>67</v>
      </c>
      <c r="H5" s="10" t="s">
        <v>50</v>
      </c>
      <c r="I5" s="10" t="s">
        <v>68</v>
      </c>
      <c r="J5" s="10" t="s">
        <v>25</v>
      </c>
      <c r="K5" s="10" t="s">
        <v>51</v>
      </c>
      <c r="L5" s="10" t="s">
        <v>58</v>
      </c>
      <c r="M5" s="11"/>
      <c r="N5" s="11" t="s">
        <v>8</v>
      </c>
      <c r="O5" s="11"/>
      <c r="P5" s="11"/>
    </row>
    <row r="6" customFormat="false" ht="23.85" hidden="false" customHeight="false" outlineLevel="0" collapsed="false">
      <c r="A6" s="10" t="n">
        <v>5</v>
      </c>
      <c r="B6" s="10" t="s">
        <v>11</v>
      </c>
      <c r="C6" s="10" t="s">
        <v>37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50</v>
      </c>
      <c r="I6" s="10" t="s">
        <v>6</v>
      </c>
      <c r="J6" s="10" t="s">
        <v>25</v>
      </c>
      <c r="K6" s="10" t="s">
        <v>51</v>
      </c>
      <c r="L6" s="10" t="s">
        <v>73</v>
      </c>
      <c r="M6" s="11"/>
      <c r="N6" s="11" t="s">
        <v>8</v>
      </c>
      <c r="O6" s="11"/>
      <c r="P6" s="11"/>
    </row>
    <row r="7" customFormat="false" ht="23.85" hidden="false" customHeight="false" outlineLevel="0" collapsed="false">
      <c r="A7" s="10" t="n">
        <v>6</v>
      </c>
      <c r="B7" s="10" t="s">
        <v>11</v>
      </c>
      <c r="C7" s="10" t="s">
        <v>74</v>
      </c>
      <c r="D7" s="10" t="s">
        <v>75</v>
      </c>
      <c r="E7" s="10" t="s">
        <v>76</v>
      </c>
      <c r="F7" s="10" t="s">
        <v>77</v>
      </c>
      <c r="G7" s="10" t="s">
        <v>67</v>
      </c>
      <c r="H7" s="10" t="s">
        <v>50</v>
      </c>
      <c r="I7" s="10" t="s">
        <v>57</v>
      </c>
      <c r="J7" s="10" t="s">
        <v>25</v>
      </c>
      <c r="K7" s="10" t="s">
        <v>51</v>
      </c>
      <c r="L7" s="10" t="s">
        <v>58</v>
      </c>
      <c r="M7" s="11"/>
      <c r="N7" s="11" t="s">
        <v>8</v>
      </c>
      <c r="O7" s="11"/>
      <c r="P7" s="11"/>
    </row>
    <row r="8" customFormat="false" ht="23.85" hidden="false" customHeight="false" outlineLevel="0" collapsed="false">
      <c r="A8" s="10" t="n">
        <v>7</v>
      </c>
      <c r="B8" s="10" t="s">
        <v>11</v>
      </c>
      <c r="C8" s="10" t="s">
        <v>74</v>
      </c>
      <c r="D8" s="10" t="s">
        <v>78</v>
      </c>
      <c r="E8" s="10" t="s">
        <v>79</v>
      </c>
      <c r="F8" s="10" t="s">
        <v>80</v>
      </c>
      <c r="G8" s="10" t="s">
        <v>81</v>
      </c>
      <c r="H8" s="10" t="s">
        <v>50</v>
      </c>
      <c r="I8" s="10" t="s">
        <v>68</v>
      </c>
      <c r="J8" s="10" t="s">
        <v>25</v>
      </c>
      <c r="K8" s="10" t="s">
        <v>82</v>
      </c>
      <c r="L8" s="10" t="s">
        <v>83</v>
      </c>
      <c r="M8" s="11"/>
      <c r="N8" s="11" t="s">
        <v>8</v>
      </c>
      <c r="O8" s="11"/>
      <c r="P8" s="11"/>
    </row>
    <row r="9" customFormat="false" ht="23.85" hidden="false" customHeight="false" outlineLevel="0" collapsed="false">
      <c r="A9" s="10" t="n">
        <v>8</v>
      </c>
      <c r="B9" s="10" t="s">
        <v>12</v>
      </c>
      <c r="C9" s="10" t="s">
        <v>84</v>
      </c>
      <c r="D9" s="10" t="s">
        <v>85</v>
      </c>
      <c r="E9" s="10" t="s">
        <v>86</v>
      </c>
      <c r="F9" s="10" t="s">
        <v>87</v>
      </c>
      <c r="G9" s="10" t="s">
        <v>88</v>
      </c>
      <c r="H9" s="10" t="s">
        <v>89</v>
      </c>
      <c r="I9" s="10" t="s">
        <v>6</v>
      </c>
      <c r="J9" s="10" t="s">
        <v>22</v>
      </c>
      <c r="K9" s="10" t="s">
        <v>82</v>
      </c>
      <c r="L9" s="10" t="s">
        <v>90</v>
      </c>
      <c r="M9" s="11"/>
      <c r="N9" s="11" t="s">
        <v>8</v>
      </c>
      <c r="O9" s="11"/>
      <c r="P9" s="11"/>
    </row>
    <row r="10" customFormat="false" ht="23.85" hidden="false" customHeight="false" outlineLevel="0" collapsed="false">
      <c r="A10" s="10" t="n">
        <v>9</v>
      </c>
      <c r="B10" s="10" t="s">
        <v>12</v>
      </c>
      <c r="C10" s="10" t="s">
        <v>84</v>
      </c>
      <c r="D10" s="10" t="s">
        <v>91</v>
      </c>
      <c r="E10" s="10" t="s">
        <v>92</v>
      </c>
      <c r="F10" s="10" t="s">
        <v>93</v>
      </c>
      <c r="G10" s="10" t="s">
        <v>94</v>
      </c>
      <c r="H10" s="12" t="s">
        <v>95</v>
      </c>
      <c r="I10" s="10" t="s">
        <v>6</v>
      </c>
      <c r="J10" s="10" t="s">
        <v>20</v>
      </c>
      <c r="K10" s="10" t="s">
        <v>96</v>
      </c>
      <c r="L10" s="10" t="s">
        <v>97</v>
      </c>
      <c r="M10" s="11"/>
      <c r="N10" s="11" t="s">
        <v>8</v>
      </c>
      <c r="O10" s="11"/>
      <c r="P10" s="11"/>
    </row>
    <row r="11" customFormat="false" ht="23.85" hidden="false" customHeight="false" outlineLevel="0" collapsed="false">
      <c r="A11" s="10" t="n">
        <v>10</v>
      </c>
      <c r="B11" s="10" t="s">
        <v>12</v>
      </c>
      <c r="C11" s="10" t="s">
        <v>84</v>
      </c>
      <c r="D11" s="10" t="s">
        <v>98</v>
      </c>
      <c r="E11" s="10" t="s">
        <v>99</v>
      </c>
      <c r="F11" s="10" t="s">
        <v>100</v>
      </c>
      <c r="G11" s="10" t="s">
        <v>101</v>
      </c>
      <c r="H11" s="10" t="s">
        <v>50</v>
      </c>
      <c r="I11" s="10" t="s">
        <v>57</v>
      </c>
      <c r="J11" s="10" t="s">
        <v>18</v>
      </c>
      <c r="K11" s="13" t="s">
        <v>102</v>
      </c>
      <c r="L11" s="10" t="s">
        <v>103</v>
      </c>
      <c r="M11" s="11"/>
      <c r="N11" s="11" t="s">
        <v>8</v>
      </c>
      <c r="O11" s="11"/>
      <c r="P11" s="11"/>
    </row>
    <row r="12" customFormat="false" ht="15" hidden="false" customHeight="false" outlineLevel="0" collapsed="false">
      <c r="A12" s="10" t="n">
        <v>11</v>
      </c>
      <c r="B12" s="10" t="s">
        <v>12</v>
      </c>
      <c r="C12" s="10" t="s">
        <v>84</v>
      </c>
      <c r="D12" s="10" t="s">
        <v>104</v>
      </c>
      <c r="E12" s="10" t="s">
        <v>105</v>
      </c>
      <c r="F12" s="10" t="s">
        <v>106</v>
      </c>
      <c r="G12" s="10" t="s">
        <v>107</v>
      </c>
      <c r="H12" s="10" t="s">
        <v>50</v>
      </c>
      <c r="I12" s="10" t="s">
        <v>57</v>
      </c>
      <c r="J12" s="10" t="s">
        <v>108</v>
      </c>
      <c r="K12" s="10" t="s">
        <v>82</v>
      </c>
      <c r="L12" s="10" t="s">
        <v>109</v>
      </c>
      <c r="M12" s="11"/>
      <c r="N12" s="11" t="s">
        <v>8</v>
      </c>
      <c r="O12" s="11"/>
      <c r="P12" s="11"/>
    </row>
    <row r="13" customFormat="false" ht="15" hidden="false" customHeight="false" outlineLevel="0" collapsed="false">
      <c r="A13" s="10" t="n">
        <v>12</v>
      </c>
      <c r="B13" s="10" t="s">
        <v>12</v>
      </c>
      <c r="C13" s="10" t="s">
        <v>84</v>
      </c>
      <c r="D13" s="10" t="s">
        <v>110</v>
      </c>
      <c r="E13" s="10" t="s">
        <v>111</v>
      </c>
      <c r="F13" s="10" t="s">
        <v>112</v>
      </c>
      <c r="G13" s="10" t="s">
        <v>113</v>
      </c>
      <c r="H13" s="10" t="s">
        <v>114</v>
      </c>
      <c r="I13" s="10" t="s">
        <v>68</v>
      </c>
      <c r="J13" s="10" t="s">
        <v>108</v>
      </c>
      <c r="K13" s="10" t="s">
        <v>82</v>
      </c>
      <c r="L13" s="10" t="s">
        <v>115</v>
      </c>
      <c r="M13" s="11"/>
      <c r="N13" s="11" t="s">
        <v>8</v>
      </c>
      <c r="O13" s="11"/>
      <c r="P13" s="11"/>
    </row>
    <row r="14" customFormat="false" ht="23.85" hidden="false" customHeight="false" outlineLevel="0" collapsed="false">
      <c r="A14" s="10" t="n">
        <v>13</v>
      </c>
      <c r="B14" s="10" t="s">
        <v>12</v>
      </c>
      <c r="C14" s="10" t="s">
        <v>116</v>
      </c>
      <c r="D14" s="10" t="s">
        <v>117</v>
      </c>
      <c r="E14" s="10" t="s">
        <v>118</v>
      </c>
      <c r="F14" s="10" t="s">
        <v>119</v>
      </c>
      <c r="G14" s="10" t="s">
        <v>120</v>
      </c>
      <c r="H14" s="10" t="s">
        <v>50</v>
      </c>
      <c r="I14" s="10" t="s">
        <v>6</v>
      </c>
      <c r="J14" s="10" t="s">
        <v>18</v>
      </c>
      <c r="K14" s="13" t="s">
        <v>102</v>
      </c>
      <c r="L14" s="10" t="s">
        <v>121</v>
      </c>
      <c r="M14" s="11"/>
      <c r="N14" s="11" t="s">
        <v>8</v>
      </c>
      <c r="O14" s="11"/>
      <c r="P14" s="11"/>
    </row>
    <row r="15" customFormat="false" ht="23.85" hidden="false" customHeight="false" outlineLevel="0" collapsed="false">
      <c r="A15" s="10" t="n">
        <v>14</v>
      </c>
      <c r="B15" s="10" t="s">
        <v>12</v>
      </c>
      <c r="C15" s="10" t="s">
        <v>116</v>
      </c>
      <c r="D15" s="10" t="s">
        <v>122</v>
      </c>
      <c r="E15" s="10" t="s">
        <v>123</v>
      </c>
      <c r="F15" s="10" t="s">
        <v>124</v>
      </c>
      <c r="G15" s="10" t="s">
        <v>125</v>
      </c>
      <c r="H15" s="10" t="s">
        <v>50</v>
      </c>
      <c r="I15" s="10" t="s">
        <v>6</v>
      </c>
      <c r="J15" s="10" t="s">
        <v>21</v>
      </c>
      <c r="K15" s="10" t="s">
        <v>51</v>
      </c>
      <c r="L15" s="10" t="s">
        <v>126</v>
      </c>
      <c r="M15" s="11"/>
      <c r="N15" s="11" t="s">
        <v>8</v>
      </c>
      <c r="O15" s="11"/>
      <c r="P15" s="11"/>
    </row>
    <row r="16" customFormat="false" ht="23.85" hidden="false" customHeight="false" outlineLevel="0" collapsed="false">
      <c r="A16" s="10" t="n">
        <v>15</v>
      </c>
      <c r="B16" s="10" t="s">
        <v>12</v>
      </c>
      <c r="C16" s="10" t="s">
        <v>116</v>
      </c>
      <c r="D16" s="10" t="s">
        <v>127</v>
      </c>
      <c r="E16" s="10" t="s">
        <v>128</v>
      </c>
      <c r="F16" s="10" t="s">
        <v>129</v>
      </c>
      <c r="G16" s="10" t="s">
        <v>130</v>
      </c>
      <c r="H16" s="10" t="s">
        <v>50</v>
      </c>
      <c r="I16" s="10" t="s">
        <v>6</v>
      </c>
      <c r="J16" s="10" t="s">
        <v>19</v>
      </c>
      <c r="K16" s="10" t="s">
        <v>96</v>
      </c>
      <c r="L16" s="10" t="s">
        <v>131</v>
      </c>
      <c r="M16" s="11"/>
      <c r="N16" s="11" t="s">
        <v>8</v>
      </c>
      <c r="O16" s="11"/>
      <c r="P16" s="11"/>
    </row>
    <row r="17" customFormat="false" ht="23.85" hidden="false" customHeight="false" outlineLevel="0" collapsed="false">
      <c r="A17" s="10" t="n">
        <v>16</v>
      </c>
      <c r="B17" s="10" t="s">
        <v>12</v>
      </c>
      <c r="C17" s="10" t="s">
        <v>116</v>
      </c>
      <c r="D17" s="10" t="s">
        <v>132</v>
      </c>
      <c r="E17" s="10" t="s">
        <v>133</v>
      </c>
      <c r="F17" s="10" t="s">
        <v>134</v>
      </c>
      <c r="G17" s="10" t="s">
        <v>135</v>
      </c>
      <c r="H17" s="10" t="s">
        <v>136</v>
      </c>
      <c r="I17" s="10" t="s">
        <v>6</v>
      </c>
      <c r="J17" s="10" t="s">
        <v>19</v>
      </c>
      <c r="K17" s="13" t="s">
        <v>102</v>
      </c>
      <c r="L17" s="10" t="s">
        <v>137</v>
      </c>
      <c r="M17" s="11"/>
      <c r="N17" s="11" t="s">
        <v>8</v>
      </c>
      <c r="O17" s="11"/>
      <c r="P17" s="11"/>
    </row>
    <row r="18" customFormat="false" ht="23.85" hidden="false" customHeight="false" outlineLevel="0" collapsed="false">
      <c r="A18" s="10" t="n">
        <v>17</v>
      </c>
      <c r="B18" s="10" t="s">
        <v>12</v>
      </c>
      <c r="C18" s="10" t="s">
        <v>116</v>
      </c>
      <c r="D18" s="10" t="s">
        <v>138</v>
      </c>
      <c r="E18" s="10" t="s">
        <v>139</v>
      </c>
      <c r="F18" s="10" t="s">
        <v>140</v>
      </c>
      <c r="G18" s="10" t="s">
        <v>141</v>
      </c>
      <c r="H18" s="10" t="s">
        <v>89</v>
      </c>
      <c r="I18" s="10" t="s">
        <v>6</v>
      </c>
      <c r="J18" s="10" t="s">
        <v>19</v>
      </c>
      <c r="K18" s="13" t="s">
        <v>102</v>
      </c>
      <c r="L18" s="10" t="s">
        <v>142</v>
      </c>
      <c r="M18" s="11"/>
      <c r="N18" s="11" t="s">
        <v>8</v>
      </c>
      <c r="O18" s="11"/>
      <c r="P18" s="11"/>
    </row>
    <row r="19" customFormat="false" ht="23.85" hidden="false" customHeight="false" outlineLevel="0" collapsed="false">
      <c r="A19" s="10" t="n">
        <v>18</v>
      </c>
      <c r="B19" s="10" t="s">
        <v>12</v>
      </c>
      <c r="C19" s="10" t="s">
        <v>143</v>
      </c>
      <c r="D19" s="10" t="s">
        <v>144</v>
      </c>
      <c r="E19" s="10" t="s">
        <v>145</v>
      </c>
      <c r="F19" s="10" t="s">
        <v>146</v>
      </c>
      <c r="G19" s="10" t="s">
        <v>147</v>
      </c>
      <c r="H19" s="12" t="s">
        <v>148</v>
      </c>
      <c r="I19" s="10" t="s">
        <v>6</v>
      </c>
      <c r="J19" s="10" t="s">
        <v>20</v>
      </c>
      <c r="K19" s="13" t="s">
        <v>102</v>
      </c>
      <c r="L19" s="10" t="s">
        <v>149</v>
      </c>
      <c r="M19" s="11"/>
      <c r="N19" s="11" t="s">
        <v>8</v>
      </c>
      <c r="O19" s="11"/>
      <c r="P19" s="11"/>
    </row>
    <row r="20" customFormat="false" ht="15" hidden="false" customHeight="false" outlineLevel="0" collapsed="false">
      <c r="A20" s="10" t="n">
        <v>19</v>
      </c>
      <c r="B20" s="10" t="s">
        <v>12</v>
      </c>
      <c r="C20" s="10" t="s">
        <v>143</v>
      </c>
      <c r="D20" s="10" t="s">
        <v>150</v>
      </c>
      <c r="E20" s="10" t="s">
        <v>151</v>
      </c>
      <c r="F20" s="10" t="s">
        <v>152</v>
      </c>
      <c r="G20" s="10" t="s">
        <v>153</v>
      </c>
      <c r="H20" s="12" t="s">
        <v>95</v>
      </c>
      <c r="I20" s="10" t="s">
        <v>68</v>
      </c>
      <c r="J20" s="10" t="s">
        <v>154</v>
      </c>
      <c r="K20" s="10" t="s">
        <v>82</v>
      </c>
      <c r="L20" s="10" t="s">
        <v>155</v>
      </c>
      <c r="M20" s="11"/>
      <c r="N20" s="11" t="s">
        <v>8</v>
      </c>
      <c r="O20" s="11"/>
      <c r="P20" s="11"/>
    </row>
    <row r="21" customFormat="false" ht="23.85" hidden="false" customHeight="false" outlineLevel="0" collapsed="false">
      <c r="A21" s="10" t="n">
        <v>20</v>
      </c>
      <c r="B21" s="10" t="s">
        <v>12</v>
      </c>
      <c r="C21" s="10" t="s">
        <v>143</v>
      </c>
      <c r="D21" s="10" t="s">
        <v>156</v>
      </c>
      <c r="E21" s="10" t="s">
        <v>157</v>
      </c>
      <c r="F21" s="10" t="s">
        <v>158</v>
      </c>
      <c r="G21" s="10" t="s">
        <v>159</v>
      </c>
      <c r="H21" s="10" t="s">
        <v>50</v>
      </c>
      <c r="I21" s="10" t="s">
        <v>6</v>
      </c>
      <c r="J21" s="10" t="s">
        <v>20</v>
      </c>
      <c r="K21" s="10" t="s">
        <v>96</v>
      </c>
      <c r="L21" s="10" t="s">
        <v>160</v>
      </c>
      <c r="M21" s="11"/>
      <c r="N21" s="11" t="s">
        <v>8</v>
      </c>
      <c r="O21" s="11"/>
      <c r="P21" s="11"/>
    </row>
    <row r="22" customFormat="false" ht="35.05" hidden="false" customHeight="false" outlineLevel="0" collapsed="false">
      <c r="A22" s="10" t="n">
        <v>21</v>
      </c>
      <c r="B22" s="10" t="s">
        <v>12</v>
      </c>
      <c r="C22" s="10" t="s">
        <v>143</v>
      </c>
      <c r="D22" s="10" t="s">
        <v>161</v>
      </c>
      <c r="E22" s="10" t="s">
        <v>162</v>
      </c>
      <c r="F22" s="10" t="s">
        <v>163</v>
      </c>
      <c r="G22" s="10" t="s">
        <v>164</v>
      </c>
      <c r="H22" s="12" t="s">
        <v>95</v>
      </c>
      <c r="I22" s="10" t="s">
        <v>6</v>
      </c>
      <c r="J22" s="10" t="s">
        <v>165</v>
      </c>
      <c r="K22" s="13" t="s">
        <v>102</v>
      </c>
      <c r="L22" s="10" t="s">
        <v>166</v>
      </c>
      <c r="M22" s="11"/>
      <c r="N22" s="11" t="s">
        <v>8</v>
      </c>
      <c r="O22" s="11"/>
      <c r="P22" s="11"/>
    </row>
    <row r="23" customFormat="false" ht="23.85" hidden="false" customHeight="false" outlineLevel="0" collapsed="false">
      <c r="A23" s="10" t="n">
        <v>22</v>
      </c>
      <c r="B23" s="10" t="s">
        <v>12</v>
      </c>
      <c r="C23" s="10" t="s">
        <v>143</v>
      </c>
      <c r="D23" s="10" t="s">
        <v>167</v>
      </c>
      <c r="E23" s="10" t="s">
        <v>168</v>
      </c>
      <c r="F23" s="10" t="s">
        <v>169</v>
      </c>
      <c r="G23" s="10" t="s">
        <v>170</v>
      </c>
      <c r="H23" s="12" t="s">
        <v>95</v>
      </c>
      <c r="I23" s="10" t="s">
        <v>6</v>
      </c>
      <c r="J23" s="10" t="s">
        <v>20</v>
      </c>
      <c r="K23" s="10" t="s">
        <v>96</v>
      </c>
      <c r="L23" s="10" t="s">
        <v>171</v>
      </c>
      <c r="M23" s="11"/>
      <c r="N23" s="11" t="s">
        <v>8</v>
      </c>
      <c r="O23" s="11"/>
      <c r="P23" s="11"/>
    </row>
    <row r="24" customFormat="false" ht="23.85" hidden="false" customHeight="false" outlineLevel="0" collapsed="false">
      <c r="A24" s="10" t="n">
        <v>23</v>
      </c>
      <c r="B24" s="10" t="s">
        <v>12</v>
      </c>
      <c r="C24" s="10" t="s">
        <v>172</v>
      </c>
      <c r="D24" s="10" t="s">
        <v>173</v>
      </c>
      <c r="E24" s="10" t="s">
        <v>174</v>
      </c>
      <c r="F24" s="10" t="s">
        <v>175</v>
      </c>
      <c r="G24" s="10" t="s">
        <v>176</v>
      </c>
      <c r="H24" s="10" t="s">
        <v>50</v>
      </c>
      <c r="I24" s="10" t="s">
        <v>6</v>
      </c>
      <c r="J24" s="10" t="s">
        <v>18</v>
      </c>
      <c r="K24" s="13" t="s">
        <v>102</v>
      </c>
      <c r="L24" s="10" t="s">
        <v>177</v>
      </c>
      <c r="M24" s="11"/>
      <c r="N24" s="11" t="s">
        <v>8</v>
      </c>
      <c r="O24" s="11"/>
      <c r="P24" s="11"/>
    </row>
    <row r="25" customFormat="false" ht="23.85" hidden="false" customHeight="false" outlineLevel="0" collapsed="false">
      <c r="A25" s="10" t="n">
        <v>24</v>
      </c>
      <c r="B25" s="10" t="s">
        <v>12</v>
      </c>
      <c r="C25" s="10" t="s">
        <v>172</v>
      </c>
      <c r="D25" s="10" t="s">
        <v>178</v>
      </c>
      <c r="E25" s="10" t="s">
        <v>179</v>
      </c>
      <c r="F25" s="10" t="s">
        <v>180</v>
      </c>
      <c r="G25" s="10" t="s">
        <v>181</v>
      </c>
      <c r="H25" s="10" t="s">
        <v>50</v>
      </c>
      <c r="I25" s="10" t="s">
        <v>68</v>
      </c>
      <c r="J25" s="10" t="s">
        <v>182</v>
      </c>
      <c r="K25" s="10" t="s">
        <v>96</v>
      </c>
      <c r="L25" s="10" t="s">
        <v>183</v>
      </c>
      <c r="M25" s="11"/>
      <c r="N25" s="11" t="s">
        <v>8</v>
      </c>
      <c r="O25" s="11"/>
      <c r="P25" s="11"/>
    </row>
    <row r="26" customFormat="false" ht="23.85" hidden="false" customHeight="false" outlineLevel="0" collapsed="false">
      <c r="A26" s="10" t="n">
        <v>25</v>
      </c>
      <c r="B26" s="10" t="s">
        <v>12</v>
      </c>
      <c r="C26" s="10" t="s">
        <v>172</v>
      </c>
      <c r="D26" s="10" t="s">
        <v>184</v>
      </c>
      <c r="E26" s="10" t="s">
        <v>185</v>
      </c>
      <c r="F26" s="10" t="s">
        <v>186</v>
      </c>
      <c r="G26" s="10" t="s">
        <v>187</v>
      </c>
      <c r="H26" s="10" t="s">
        <v>50</v>
      </c>
      <c r="I26" s="10" t="s">
        <v>6</v>
      </c>
      <c r="J26" s="10" t="s">
        <v>19</v>
      </c>
      <c r="K26" s="10" t="s">
        <v>96</v>
      </c>
      <c r="L26" s="10" t="s">
        <v>188</v>
      </c>
      <c r="M26" s="11"/>
      <c r="N26" s="11" t="s">
        <v>8</v>
      </c>
      <c r="O26" s="11"/>
      <c r="P26" s="11"/>
    </row>
    <row r="27" customFormat="false" ht="23.85" hidden="false" customHeight="false" outlineLevel="0" collapsed="false">
      <c r="A27" s="10" t="n">
        <v>26</v>
      </c>
      <c r="B27" s="10" t="s">
        <v>12</v>
      </c>
      <c r="C27" s="10" t="s">
        <v>172</v>
      </c>
      <c r="D27" s="10" t="s">
        <v>189</v>
      </c>
      <c r="E27" s="10" t="s">
        <v>190</v>
      </c>
      <c r="F27" s="10" t="s">
        <v>191</v>
      </c>
      <c r="G27" s="10" t="s">
        <v>192</v>
      </c>
      <c r="H27" s="12" t="s">
        <v>95</v>
      </c>
      <c r="I27" s="10" t="s">
        <v>6</v>
      </c>
      <c r="J27" s="10" t="s">
        <v>182</v>
      </c>
      <c r="K27" s="13" t="s">
        <v>102</v>
      </c>
      <c r="L27" s="10" t="s">
        <v>193</v>
      </c>
      <c r="M27" s="11"/>
      <c r="N27" s="11" t="s">
        <v>8</v>
      </c>
      <c r="O27" s="11"/>
      <c r="P27" s="11"/>
    </row>
    <row r="28" customFormat="false" ht="23.85" hidden="false" customHeight="false" outlineLevel="0" collapsed="false">
      <c r="A28" s="10" t="n">
        <v>27</v>
      </c>
      <c r="B28" s="10" t="s">
        <v>12</v>
      </c>
      <c r="C28" s="10" t="s">
        <v>172</v>
      </c>
      <c r="D28" s="10" t="s">
        <v>194</v>
      </c>
      <c r="E28" s="10" t="s">
        <v>195</v>
      </c>
      <c r="F28" s="10" t="s">
        <v>196</v>
      </c>
      <c r="G28" s="10" t="s">
        <v>197</v>
      </c>
      <c r="H28" s="10" t="s">
        <v>50</v>
      </c>
      <c r="I28" s="10" t="s">
        <v>68</v>
      </c>
      <c r="J28" s="10" t="s">
        <v>182</v>
      </c>
      <c r="K28" s="10" t="s">
        <v>96</v>
      </c>
      <c r="L28" s="10" t="s">
        <v>198</v>
      </c>
      <c r="M28" s="11"/>
      <c r="N28" s="11" t="s">
        <v>8</v>
      </c>
      <c r="O28" s="11"/>
      <c r="P28" s="11"/>
    </row>
    <row r="29" customFormat="false" ht="23.85" hidden="false" customHeight="false" outlineLevel="0" collapsed="false">
      <c r="A29" s="10" t="n">
        <v>28</v>
      </c>
      <c r="B29" s="10" t="s">
        <v>12</v>
      </c>
      <c r="C29" s="10" t="s">
        <v>172</v>
      </c>
      <c r="D29" s="10" t="s">
        <v>199</v>
      </c>
      <c r="E29" s="10" t="s">
        <v>200</v>
      </c>
      <c r="F29" s="10" t="s">
        <v>201</v>
      </c>
      <c r="G29" s="10" t="s">
        <v>202</v>
      </c>
      <c r="H29" s="12" t="s">
        <v>95</v>
      </c>
      <c r="I29" s="10" t="s">
        <v>6</v>
      </c>
      <c r="J29" s="10" t="s">
        <v>18</v>
      </c>
      <c r="K29" s="13" t="s">
        <v>102</v>
      </c>
      <c r="L29" s="10" t="s">
        <v>203</v>
      </c>
      <c r="M29" s="11"/>
      <c r="N29" s="11" t="s">
        <v>8</v>
      </c>
      <c r="O29" s="11"/>
      <c r="P29" s="11"/>
    </row>
    <row r="30" customFormat="false" ht="23.85" hidden="false" customHeight="false" outlineLevel="0" collapsed="false">
      <c r="A30" s="10" t="n">
        <v>29</v>
      </c>
      <c r="B30" s="10" t="s">
        <v>12</v>
      </c>
      <c r="C30" s="10" t="s">
        <v>204</v>
      </c>
      <c r="D30" s="10" t="s">
        <v>205</v>
      </c>
      <c r="E30" s="10" t="s">
        <v>206</v>
      </c>
      <c r="F30" s="10" t="s">
        <v>207</v>
      </c>
      <c r="G30" s="10" t="s">
        <v>208</v>
      </c>
      <c r="H30" s="10" t="s">
        <v>209</v>
      </c>
      <c r="I30" s="10" t="s">
        <v>6</v>
      </c>
      <c r="J30" s="10" t="s">
        <v>18</v>
      </c>
      <c r="K30" s="13" t="s">
        <v>102</v>
      </c>
      <c r="L30" s="10" t="s">
        <v>210</v>
      </c>
      <c r="M30" s="11"/>
      <c r="N30" s="11" t="s">
        <v>8</v>
      </c>
      <c r="O30" s="11"/>
      <c r="P30" s="11"/>
    </row>
    <row r="31" customFormat="false" ht="23.85" hidden="false" customHeight="false" outlineLevel="0" collapsed="false">
      <c r="A31" s="10" t="n">
        <v>30</v>
      </c>
      <c r="B31" s="10" t="s">
        <v>12</v>
      </c>
      <c r="C31" s="10" t="s">
        <v>204</v>
      </c>
      <c r="D31" s="10" t="s">
        <v>211</v>
      </c>
      <c r="E31" s="10" t="s">
        <v>212</v>
      </c>
      <c r="F31" s="10" t="s">
        <v>213</v>
      </c>
      <c r="G31" s="10" t="s">
        <v>214</v>
      </c>
      <c r="H31" s="10" t="s">
        <v>209</v>
      </c>
      <c r="I31" s="10" t="s">
        <v>6</v>
      </c>
      <c r="J31" s="10" t="s">
        <v>18</v>
      </c>
      <c r="K31" s="13" t="s">
        <v>102</v>
      </c>
      <c r="L31" s="10" t="s">
        <v>215</v>
      </c>
      <c r="M31" s="11"/>
      <c r="N31" s="11" t="s">
        <v>8</v>
      </c>
      <c r="O31" s="11"/>
      <c r="P31" s="11"/>
    </row>
    <row r="32" customFormat="false" ht="23.85" hidden="false" customHeight="false" outlineLevel="0" collapsed="false">
      <c r="A32" s="10" t="n">
        <v>31</v>
      </c>
      <c r="B32" s="10" t="s">
        <v>12</v>
      </c>
      <c r="C32" s="10" t="s">
        <v>204</v>
      </c>
      <c r="D32" s="10" t="s">
        <v>216</v>
      </c>
      <c r="E32" s="10" t="s">
        <v>217</v>
      </c>
      <c r="F32" s="10" t="s">
        <v>218</v>
      </c>
      <c r="G32" s="10" t="s">
        <v>219</v>
      </c>
      <c r="H32" s="10" t="s">
        <v>209</v>
      </c>
      <c r="I32" s="10" t="s">
        <v>6</v>
      </c>
      <c r="J32" s="10" t="s">
        <v>220</v>
      </c>
      <c r="K32" s="10" t="s">
        <v>96</v>
      </c>
      <c r="L32" s="10" t="s">
        <v>221</v>
      </c>
      <c r="M32" s="11"/>
      <c r="N32" s="11" t="s">
        <v>8</v>
      </c>
      <c r="O32" s="11"/>
      <c r="P32" s="11"/>
    </row>
    <row r="33" customFormat="false" ht="23.85" hidden="false" customHeight="false" outlineLevel="0" collapsed="false">
      <c r="A33" s="10" t="n">
        <v>32</v>
      </c>
      <c r="B33" s="10" t="s">
        <v>12</v>
      </c>
      <c r="C33" s="10" t="s">
        <v>204</v>
      </c>
      <c r="D33" s="10" t="s">
        <v>222</v>
      </c>
      <c r="E33" s="10" t="s">
        <v>223</v>
      </c>
      <c r="F33" s="10" t="s">
        <v>224</v>
      </c>
      <c r="G33" s="10" t="s">
        <v>225</v>
      </c>
      <c r="H33" s="10" t="s">
        <v>114</v>
      </c>
      <c r="I33" s="10" t="s">
        <v>6</v>
      </c>
      <c r="J33" s="10" t="s">
        <v>22</v>
      </c>
      <c r="K33" s="10" t="s">
        <v>82</v>
      </c>
      <c r="L33" s="10" t="s">
        <v>226</v>
      </c>
      <c r="M33" s="11"/>
      <c r="N33" s="11" t="s">
        <v>8</v>
      </c>
      <c r="O33" s="11"/>
      <c r="P33" s="11"/>
    </row>
    <row r="34" customFormat="false" ht="23.85" hidden="false" customHeight="false" outlineLevel="0" collapsed="false">
      <c r="A34" s="10" t="n">
        <v>33</v>
      </c>
      <c r="B34" s="10" t="s">
        <v>12</v>
      </c>
      <c r="C34" s="10" t="s">
        <v>204</v>
      </c>
      <c r="D34" s="10" t="s">
        <v>227</v>
      </c>
      <c r="E34" s="10" t="s">
        <v>228</v>
      </c>
      <c r="F34" s="10" t="s">
        <v>229</v>
      </c>
      <c r="G34" s="10" t="s">
        <v>230</v>
      </c>
      <c r="H34" s="10" t="s">
        <v>209</v>
      </c>
      <c r="I34" s="10" t="s">
        <v>6</v>
      </c>
      <c r="J34" s="10" t="s">
        <v>231</v>
      </c>
      <c r="K34" s="13" t="s">
        <v>102</v>
      </c>
      <c r="L34" s="10" t="s">
        <v>232</v>
      </c>
      <c r="M34" s="11"/>
      <c r="N34" s="11" t="s">
        <v>8</v>
      </c>
      <c r="O34" s="11"/>
      <c r="P34" s="11"/>
    </row>
    <row r="35" customFormat="false" ht="23.85" hidden="false" customHeight="false" outlineLevel="0" collapsed="false">
      <c r="A35" s="10" t="n">
        <v>34</v>
      </c>
      <c r="B35" s="10" t="s">
        <v>12</v>
      </c>
      <c r="C35" s="10" t="s">
        <v>204</v>
      </c>
      <c r="D35" s="10" t="s">
        <v>233</v>
      </c>
      <c r="E35" s="10" t="s">
        <v>234</v>
      </c>
      <c r="F35" s="10" t="s">
        <v>235</v>
      </c>
      <c r="G35" s="10" t="s">
        <v>236</v>
      </c>
      <c r="H35" s="10" t="s">
        <v>114</v>
      </c>
      <c r="I35" s="10" t="s">
        <v>68</v>
      </c>
      <c r="J35" s="10" t="s">
        <v>22</v>
      </c>
      <c r="K35" s="10" t="s">
        <v>82</v>
      </c>
      <c r="L35" s="10" t="s">
        <v>237</v>
      </c>
      <c r="M35" s="11"/>
      <c r="N35" s="11" t="s">
        <v>8</v>
      </c>
      <c r="O35" s="11"/>
      <c r="P35" s="11"/>
    </row>
    <row r="36" customFormat="false" ht="23.85" hidden="false" customHeight="false" outlineLevel="0" collapsed="false">
      <c r="A36" s="10" t="n">
        <v>35</v>
      </c>
      <c r="B36" s="10" t="s">
        <v>12</v>
      </c>
      <c r="C36" s="10" t="s">
        <v>204</v>
      </c>
      <c r="D36" s="10" t="s">
        <v>238</v>
      </c>
      <c r="E36" s="10" t="s">
        <v>239</v>
      </c>
      <c r="F36" s="10" t="s">
        <v>240</v>
      </c>
      <c r="G36" s="10" t="s">
        <v>241</v>
      </c>
      <c r="H36" s="10" t="s">
        <v>209</v>
      </c>
      <c r="I36" s="10" t="s">
        <v>6</v>
      </c>
      <c r="J36" s="10" t="s">
        <v>242</v>
      </c>
      <c r="K36" s="10" t="s">
        <v>96</v>
      </c>
      <c r="L36" s="10" t="s">
        <v>243</v>
      </c>
      <c r="M36" s="11"/>
      <c r="N36" s="11" t="s">
        <v>8</v>
      </c>
      <c r="O36" s="11"/>
      <c r="P36" s="11"/>
    </row>
    <row r="37" customFormat="false" ht="15" hidden="false" customHeight="false" outlineLevel="0" collapsed="false">
      <c r="A37" s="10" t="n">
        <v>36</v>
      </c>
      <c r="B37" s="10" t="s">
        <v>12</v>
      </c>
      <c r="C37" s="10" t="s">
        <v>204</v>
      </c>
      <c r="D37" s="10" t="s">
        <v>244</v>
      </c>
      <c r="E37" s="10" t="s">
        <v>245</v>
      </c>
      <c r="F37" s="10" t="s">
        <v>246</v>
      </c>
      <c r="G37" s="10" t="s">
        <v>247</v>
      </c>
      <c r="H37" s="10" t="s">
        <v>50</v>
      </c>
      <c r="I37" s="10" t="s">
        <v>57</v>
      </c>
      <c r="J37" s="10" t="s">
        <v>22</v>
      </c>
      <c r="K37" s="10" t="s">
        <v>51</v>
      </c>
      <c r="L37" s="10" t="s">
        <v>248</v>
      </c>
      <c r="M37" s="11"/>
      <c r="N37" s="11" t="s">
        <v>8</v>
      </c>
      <c r="O37" s="11"/>
      <c r="P37" s="11"/>
    </row>
    <row r="38" customFormat="false" ht="23.85" hidden="false" customHeight="false" outlineLevel="0" collapsed="false">
      <c r="A38" s="10" t="n">
        <v>37</v>
      </c>
      <c r="B38" s="10" t="s">
        <v>13</v>
      </c>
      <c r="C38" s="10" t="s">
        <v>249</v>
      </c>
      <c r="D38" s="10" t="s">
        <v>250</v>
      </c>
      <c r="E38" s="10" t="s">
        <v>251</v>
      </c>
      <c r="F38" s="10" t="s">
        <v>252</v>
      </c>
      <c r="G38" s="10" t="s">
        <v>253</v>
      </c>
      <c r="H38" s="10" t="s">
        <v>209</v>
      </c>
      <c r="I38" s="10" t="s">
        <v>6</v>
      </c>
      <c r="J38" s="10" t="s">
        <v>254</v>
      </c>
      <c r="K38" s="10" t="s">
        <v>96</v>
      </c>
      <c r="L38" s="10" t="s">
        <v>255</v>
      </c>
      <c r="M38" s="11"/>
      <c r="N38" s="11" t="s">
        <v>8</v>
      </c>
      <c r="O38" s="11"/>
      <c r="P38" s="11"/>
    </row>
    <row r="39" customFormat="false" ht="15" hidden="false" customHeight="false" outlineLevel="0" collapsed="false">
      <c r="A39" s="10" t="n">
        <v>38</v>
      </c>
      <c r="B39" s="10" t="s">
        <v>13</v>
      </c>
      <c r="C39" s="10" t="s">
        <v>249</v>
      </c>
      <c r="D39" s="10" t="s">
        <v>256</v>
      </c>
      <c r="E39" s="10" t="s">
        <v>257</v>
      </c>
      <c r="F39" s="10" t="s">
        <v>258</v>
      </c>
      <c r="G39" s="10" t="s">
        <v>259</v>
      </c>
      <c r="H39" s="10" t="s">
        <v>136</v>
      </c>
      <c r="I39" s="10" t="s">
        <v>68</v>
      </c>
      <c r="J39" s="10" t="s">
        <v>254</v>
      </c>
      <c r="K39" s="10" t="s">
        <v>96</v>
      </c>
      <c r="L39" s="10" t="s">
        <v>260</v>
      </c>
      <c r="M39" s="11"/>
      <c r="N39" s="11" t="s">
        <v>8</v>
      </c>
      <c r="O39" s="11"/>
      <c r="P39" s="11"/>
    </row>
    <row r="40" customFormat="false" ht="15" hidden="false" customHeight="false" outlineLevel="0" collapsed="false">
      <c r="A40" s="10" t="n">
        <v>39</v>
      </c>
      <c r="B40" s="10" t="s">
        <v>13</v>
      </c>
      <c r="C40" s="10" t="s">
        <v>249</v>
      </c>
      <c r="D40" s="10" t="s">
        <v>261</v>
      </c>
      <c r="E40" s="10" t="s">
        <v>262</v>
      </c>
      <c r="F40" s="10" t="s">
        <v>263</v>
      </c>
      <c r="G40" s="10" t="s">
        <v>259</v>
      </c>
      <c r="H40" s="10" t="s">
        <v>264</v>
      </c>
      <c r="I40" s="10" t="s">
        <v>68</v>
      </c>
      <c r="J40" s="10" t="s">
        <v>19</v>
      </c>
      <c r="K40" s="10" t="s">
        <v>96</v>
      </c>
      <c r="L40" s="10" t="s">
        <v>265</v>
      </c>
      <c r="M40" s="11"/>
      <c r="N40" s="11" t="s">
        <v>8</v>
      </c>
      <c r="O40" s="11"/>
      <c r="P40" s="11"/>
    </row>
    <row r="41" customFormat="false" ht="15" hidden="false" customHeight="false" outlineLevel="0" collapsed="false">
      <c r="A41" s="10" t="n">
        <v>40</v>
      </c>
      <c r="B41" s="10" t="s">
        <v>13</v>
      </c>
      <c r="C41" s="10" t="s">
        <v>249</v>
      </c>
      <c r="D41" s="10" t="s">
        <v>266</v>
      </c>
      <c r="E41" s="10" t="s">
        <v>267</v>
      </c>
      <c r="F41" s="10" t="s">
        <v>268</v>
      </c>
      <c r="G41" s="10" t="s">
        <v>259</v>
      </c>
      <c r="H41" s="10" t="s">
        <v>269</v>
      </c>
      <c r="I41" s="10" t="s">
        <v>57</v>
      </c>
      <c r="J41" s="10" t="s">
        <v>270</v>
      </c>
      <c r="K41" s="10" t="s">
        <v>51</v>
      </c>
      <c r="L41" s="10" t="s">
        <v>271</v>
      </c>
      <c r="M41" s="11"/>
      <c r="N41" s="11" t="s">
        <v>8</v>
      </c>
      <c r="O41" s="11"/>
      <c r="P41" s="11"/>
    </row>
    <row r="42" customFormat="false" ht="23.85" hidden="false" customHeight="false" outlineLevel="0" collapsed="false">
      <c r="A42" s="10" t="n">
        <v>41</v>
      </c>
      <c r="B42" s="10" t="s">
        <v>13</v>
      </c>
      <c r="C42" s="10" t="s">
        <v>249</v>
      </c>
      <c r="D42" s="10" t="s">
        <v>272</v>
      </c>
      <c r="E42" s="10" t="s">
        <v>273</v>
      </c>
      <c r="F42" s="10" t="s">
        <v>274</v>
      </c>
      <c r="G42" s="10" t="s">
        <v>275</v>
      </c>
      <c r="H42" s="10" t="s">
        <v>50</v>
      </c>
      <c r="I42" s="10" t="s">
        <v>68</v>
      </c>
      <c r="J42" s="10" t="s">
        <v>276</v>
      </c>
      <c r="K42" s="10" t="s">
        <v>82</v>
      </c>
      <c r="L42" s="10" t="s">
        <v>277</v>
      </c>
      <c r="M42" s="11"/>
      <c r="N42" s="11" t="s">
        <v>8</v>
      </c>
      <c r="O42" s="11"/>
      <c r="P42" s="11"/>
    </row>
    <row r="43" customFormat="false" ht="15" hidden="false" customHeight="false" outlineLevel="0" collapsed="false">
      <c r="A43" s="10" t="n">
        <v>42</v>
      </c>
      <c r="B43" s="10" t="s">
        <v>13</v>
      </c>
      <c r="C43" s="10" t="s">
        <v>249</v>
      </c>
      <c r="D43" s="10" t="s">
        <v>278</v>
      </c>
      <c r="E43" s="10" t="s">
        <v>279</v>
      </c>
      <c r="F43" s="10" t="s">
        <v>280</v>
      </c>
      <c r="G43" s="10" t="s">
        <v>62</v>
      </c>
      <c r="H43" s="10" t="s">
        <v>114</v>
      </c>
      <c r="I43" s="10" t="s">
        <v>68</v>
      </c>
      <c r="J43" s="10" t="s">
        <v>25</v>
      </c>
      <c r="K43" s="10" t="s">
        <v>51</v>
      </c>
      <c r="L43" s="10" t="s">
        <v>281</v>
      </c>
      <c r="M43" s="11"/>
      <c r="N43" s="11" t="s">
        <v>8</v>
      </c>
      <c r="O43" s="11"/>
      <c r="P43" s="11"/>
    </row>
    <row r="44" customFormat="false" ht="23.85" hidden="false" customHeight="false" outlineLevel="0" collapsed="false">
      <c r="A44" s="10" t="n">
        <v>43</v>
      </c>
      <c r="B44" s="10" t="s">
        <v>13</v>
      </c>
      <c r="C44" s="10" t="s">
        <v>249</v>
      </c>
      <c r="D44" s="10" t="s">
        <v>282</v>
      </c>
      <c r="E44" s="10" t="s">
        <v>283</v>
      </c>
      <c r="F44" s="10" t="s">
        <v>284</v>
      </c>
      <c r="G44" s="10" t="s">
        <v>285</v>
      </c>
      <c r="H44" s="10" t="s">
        <v>50</v>
      </c>
      <c r="I44" s="10" t="s">
        <v>57</v>
      </c>
      <c r="J44" s="10" t="s">
        <v>286</v>
      </c>
      <c r="K44" s="10" t="s">
        <v>51</v>
      </c>
      <c r="L44" s="10" t="s">
        <v>287</v>
      </c>
      <c r="M44" s="11"/>
      <c r="N44" s="11" t="s">
        <v>8</v>
      </c>
      <c r="O44" s="11"/>
      <c r="P44" s="11"/>
    </row>
    <row r="45" customFormat="false" ht="23.85" hidden="false" customHeight="false" outlineLevel="0" collapsed="false">
      <c r="A45" s="10" t="n">
        <v>44</v>
      </c>
      <c r="B45" s="10" t="s">
        <v>14</v>
      </c>
      <c r="C45" s="10" t="s">
        <v>288</v>
      </c>
      <c r="D45" s="10" t="s">
        <v>289</v>
      </c>
      <c r="E45" s="10" t="s">
        <v>290</v>
      </c>
      <c r="F45" s="10" t="s">
        <v>291</v>
      </c>
      <c r="G45" s="10" t="s">
        <v>49</v>
      </c>
      <c r="H45" s="12" t="s">
        <v>95</v>
      </c>
      <c r="I45" s="10" t="s">
        <v>6</v>
      </c>
      <c r="J45" s="10" t="s">
        <v>22</v>
      </c>
      <c r="K45" s="10" t="s">
        <v>51</v>
      </c>
      <c r="L45" s="10" t="s">
        <v>292</v>
      </c>
      <c r="M45" s="11"/>
      <c r="N45" s="11" t="s">
        <v>8</v>
      </c>
      <c r="O45" s="11"/>
      <c r="P45" s="11"/>
    </row>
    <row r="46" customFormat="false" ht="23.85" hidden="false" customHeight="false" outlineLevel="0" collapsed="false">
      <c r="A46" s="10" t="n">
        <v>45</v>
      </c>
      <c r="B46" s="10" t="s">
        <v>14</v>
      </c>
      <c r="C46" s="10" t="s">
        <v>288</v>
      </c>
      <c r="D46" s="10" t="s">
        <v>293</v>
      </c>
      <c r="E46" s="10" t="s">
        <v>294</v>
      </c>
      <c r="F46" s="10" t="s">
        <v>295</v>
      </c>
      <c r="G46" s="10" t="s">
        <v>296</v>
      </c>
      <c r="H46" s="12" t="s">
        <v>95</v>
      </c>
      <c r="I46" s="10" t="s">
        <v>6</v>
      </c>
      <c r="J46" s="10" t="s">
        <v>22</v>
      </c>
      <c r="K46" s="10" t="s">
        <v>96</v>
      </c>
      <c r="L46" s="10" t="s">
        <v>297</v>
      </c>
      <c r="M46" s="11"/>
      <c r="N46" s="11" t="s">
        <v>8</v>
      </c>
      <c r="O46" s="11"/>
      <c r="P46" s="11"/>
    </row>
    <row r="47" customFormat="false" ht="15" hidden="false" customHeight="false" outlineLevel="0" collapsed="false">
      <c r="A47" s="10" t="n">
        <v>46</v>
      </c>
      <c r="B47" s="10" t="s">
        <v>14</v>
      </c>
      <c r="C47" s="10" t="s">
        <v>288</v>
      </c>
      <c r="D47" s="10" t="s">
        <v>298</v>
      </c>
      <c r="E47" s="10" t="s">
        <v>299</v>
      </c>
      <c r="F47" s="10" t="s">
        <v>300</v>
      </c>
      <c r="G47" s="10" t="s">
        <v>301</v>
      </c>
      <c r="H47" s="12" t="s">
        <v>95</v>
      </c>
      <c r="I47" s="10" t="s">
        <v>68</v>
      </c>
      <c r="J47" s="10" t="s">
        <v>22</v>
      </c>
      <c r="K47" s="10" t="s">
        <v>51</v>
      </c>
      <c r="L47" s="10" t="s">
        <v>302</v>
      </c>
      <c r="M47" s="11"/>
      <c r="N47" s="11" t="s">
        <v>8</v>
      </c>
      <c r="O47" s="11"/>
      <c r="P47" s="11"/>
    </row>
    <row r="48" customFormat="false" ht="15" hidden="false" customHeight="false" outlineLevel="0" collapsed="false">
      <c r="A48" s="10" t="n">
        <v>47</v>
      </c>
      <c r="B48" s="10" t="s">
        <v>14</v>
      </c>
      <c r="C48" s="10" t="s">
        <v>288</v>
      </c>
      <c r="D48" s="10" t="s">
        <v>303</v>
      </c>
      <c r="E48" s="10" t="s">
        <v>304</v>
      </c>
      <c r="F48" s="10" t="s">
        <v>305</v>
      </c>
      <c r="G48" s="10" t="s">
        <v>306</v>
      </c>
      <c r="H48" s="12" t="s">
        <v>95</v>
      </c>
      <c r="I48" s="10" t="s">
        <v>6</v>
      </c>
      <c r="J48" s="10" t="s">
        <v>22</v>
      </c>
      <c r="K48" s="10" t="s">
        <v>51</v>
      </c>
      <c r="L48" s="10" t="s">
        <v>292</v>
      </c>
      <c r="M48" s="11"/>
      <c r="N48" s="11" t="s">
        <v>8</v>
      </c>
      <c r="O48" s="11"/>
      <c r="P48" s="11"/>
    </row>
    <row r="49" customFormat="false" ht="23.85" hidden="false" customHeight="false" outlineLevel="0" collapsed="false">
      <c r="A49" s="10" t="n">
        <v>48</v>
      </c>
      <c r="B49" s="10" t="s">
        <v>14</v>
      </c>
      <c r="C49" s="10" t="s">
        <v>288</v>
      </c>
      <c r="D49" s="10" t="s">
        <v>307</v>
      </c>
      <c r="E49" s="10" t="s">
        <v>308</v>
      </c>
      <c r="F49" s="10" t="s">
        <v>309</v>
      </c>
      <c r="G49" s="10" t="s">
        <v>306</v>
      </c>
      <c r="H49" s="12" t="s">
        <v>95</v>
      </c>
      <c r="I49" s="10" t="s">
        <v>6</v>
      </c>
      <c r="J49" s="10" t="s">
        <v>22</v>
      </c>
      <c r="K49" s="10" t="s">
        <v>82</v>
      </c>
      <c r="L49" s="10" t="s">
        <v>310</v>
      </c>
      <c r="M49" s="11"/>
      <c r="N49" s="11" t="s">
        <v>8</v>
      </c>
      <c r="O49" s="11"/>
      <c r="P49" s="11"/>
    </row>
    <row r="50" customFormat="false" ht="15" hidden="false" customHeight="false" outlineLevel="0" collapsed="false">
      <c r="A50" s="10" t="n">
        <v>49</v>
      </c>
      <c r="B50" s="10" t="s">
        <v>14</v>
      </c>
      <c r="C50" s="10" t="s">
        <v>288</v>
      </c>
      <c r="D50" s="10" t="s">
        <v>311</v>
      </c>
      <c r="E50" s="10" t="s">
        <v>312</v>
      </c>
      <c r="F50" s="10" t="s">
        <v>313</v>
      </c>
      <c r="G50" s="10" t="s">
        <v>314</v>
      </c>
      <c r="H50" s="12" t="s">
        <v>95</v>
      </c>
      <c r="I50" s="10" t="s">
        <v>6</v>
      </c>
      <c r="J50" s="10" t="s">
        <v>22</v>
      </c>
      <c r="K50" s="10" t="s">
        <v>51</v>
      </c>
      <c r="L50" s="10" t="s">
        <v>315</v>
      </c>
      <c r="M50" s="11"/>
      <c r="N50" s="11" t="s">
        <v>8</v>
      </c>
      <c r="O50" s="11"/>
      <c r="P50" s="11"/>
    </row>
    <row r="51" customFormat="false" ht="23.85" hidden="false" customHeight="false" outlineLevel="0" collapsed="false">
      <c r="A51" s="10" t="n">
        <v>50</v>
      </c>
      <c r="B51" s="10" t="s">
        <v>14</v>
      </c>
      <c r="C51" s="10" t="s">
        <v>288</v>
      </c>
      <c r="D51" s="10" t="s">
        <v>316</v>
      </c>
      <c r="E51" s="10" t="s">
        <v>317</v>
      </c>
      <c r="F51" s="10" t="s">
        <v>318</v>
      </c>
      <c r="G51" s="10" t="s">
        <v>319</v>
      </c>
      <c r="H51" s="12" t="s">
        <v>95</v>
      </c>
      <c r="I51" s="10" t="s">
        <v>68</v>
      </c>
      <c r="J51" s="10" t="s">
        <v>22</v>
      </c>
      <c r="K51" s="10" t="s">
        <v>51</v>
      </c>
      <c r="L51" s="10" t="s">
        <v>320</v>
      </c>
      <c r="M51" s="11"/>
      <c r="N51" s="11" t="s">
        <v>8</v>
      </c>
      <c r="O51" s="11"/>
      <c r="P51" s="11"/>
    </row>
    <row r="52" customFormat="false" ht="23.85" hidden="false" customHeight="false" outlineLevel="0" collapsed="false">
      <c r="A52" s="10" t="n">
        <v>51</v>
      </c>
      <c r="B52" s="10" t="s">
        <v>14</v>
      </c>
      <c r="C52" s="10" t="s">
        <v>321</v>
      </c>
      <c r="D52" s="10" t="s">
        <v>322</v>
      </c>
      <c r="E52" s="10" t="s">
        <v>323</v>
      </c>
      <c r="F52" s="10" t="s">
        <v>324</v>
      </c>
      <c r="G52" s="10" t="s">
        <v>325</v>
      </c>
      <c r="H52" s="12" t="s">
        <v>95</v>
      </c>
      <c r="I52" s="10" t="s">
        <v>6</v>
      </c>
      <c r="J52" s="10" t="s">
        <v>326</v>
      </c>
      <c r="K52" s="10" t="s">
        <v>96</v>
      </c>
      <c r="L52" s="10" t="s">
        <v>327</v>
      </c>
      <c r="M52" s="11"/>
      <c r="N52" s="11" t="s">
        <v>8</v>
      </c>
      <c r="O52" s="11"/>
      <c r="P52" s="11"/>
    </row>
    <row r="53" customFormat="false" ht="23.85" hidden="false" customHeight="false" outlineLevel="0" collapsed="false">
      <c r="A53" s="10" t="n">
        <v>52</v>
      </c>
      <c r="B53" s="10" t="s">
        <v>14</v>
      </c>
      <c r="C53" s="10" t="s">
        <v>321</v>
      </c>
      <c r="D53" s="10" t="s">
        <v>328</v>
      </c>
      <c r="E53" s="10" t="s">
        <v>329</v>
      </c>
      <c r="F53" s="10" t="s">
        <v>330</v>
      </c>
      <c r="G53" s="10" t="s">
        <v>331</v>
      </c>
      <c r="H53" s="12" t="s">
        <v>95</v>
      </c>
      <c r="I53" s="10" t="s">
        <v>6</v>
      </c>
      <c r="J53" s="10" t="s">
        <v>22</v>
      </c>
      <c r="K53" s="10" t="s">
        <v>82</v>
      </c>
      <c r="L53" s="10" t="s">
        <v>332</v>
      </c>
      <c r="M53" s="11"/>
      <c r="N53" s="11" t="s">
        <v>8</v>
      </c>
      <c r="O53" s="11"/>
      <c r="P53" s="11"/>
    </row>
    <row r="54" customFormat="false" ht="15" hidden="false" customHeight="false" outlineLevel="0" collapsed="false">
      <c r="A54" s="10" t="n">
        <v>53</v>
      </c>
      <c r="B54" s="10" t="s">
        <v>14</v>
      </c>
      <c r="C54" s="10" t="s">
        <v>321</v>
      </c>
      <c r="D54" s="10" t="s">
        <v>333</v>
      </c>
      <c r="E54" s="10" t="s">
        <v>334</v>
      </c>
      <c r="F54" s="10" t="s">
        <v>335</v>
      </c>
      <c r="G54" s="10" t="s">
        <v>336</v>
      </c>
      <c r="H54" s="12" t="s">
        <v>95</v>
      </c>
      <c r="I54" s="10" t="s">
        <v>68</v>
      </c>
      <c r="J54" s="10" t="s">
        <v>22</v>
      </c>
      <c r="K54" s="10" t="s">
        <v>51</v>
      </c>
      <c r="L54" s="10" t="s">
        <v>292</v>
      </c>
      <c r="M54" s="11"/>
      <c r="N54" s="11" t="s">
        <v>8</v>
      </c>
      <c r="O54" s="11"/>
      <c r="P54" s="11"/>
    </row>
    <row r="55" customFormat="false" ht="15" hidden="false" customHeight="false" outlineLevel="0" collapsed="false">
      <c r="A55" s="10" t="n">
        <v>54</v>
      </c>
      <c r="B55" s="10" t="s">
        <v>14</v>
      </c>
      <c r="C55" s="10" t="s">
        <v>321</v>
      </c>
      <c r="D55" s="10" t="s">
        <v>337</v>
      </c>
      <c r="E55" s="10" t="s">
        <v>338</v>
      </c>
      <c r="F55" s="10" t="s">
        <v>339</v>
      </c>
      <c r="G55" s="10" t="s">
        <v>340</v>
      </c>
      <c r="H55" s="12" t="s">
        <v>95</v>
      </c>
      <c r="I55" s="10" t="s">
        <v>68</v>
      </c>
      <c r="J55" s="10" t="s">
        <v>22</v>
      </c>
      <c r="K55" s="10" t="s">
        <v>82</v>
      </c>
      <c r="L55" s="10" t="s">
        <v>341</v>
      </c>
      <c r="M55" s="11"/>
      <c r="N55" s="11" t="s">
        <v>8</v>
      </c>
      <c r="O55" s="11"/>
      <c r="P55" s="11"/>
    </row>
    <row r="56" customFormat="false" ht="23.85" hidden="false" customHeight="false" outlineLevel="0" collapsed="false">
      <c r="A56" s="10" t="n">
        <v>55</v>
      </c>
      <c r="B56" s="10" t="s">
        <v>14</v>
      </c>
      <c r="C56" s="10" t="s">
        <v>321</v>
      </c>
      <c r="D56" s="10" t="s">
        <v>342</v>
      </c>
      <c r="E56" s="10" t="s">
        <v>343</v>
      </c>
      <c r="F56" s="10" t="s">
        <v>344</v>
      </c>
      <c r="G56" s="10" t="s">
        <v>345</v>
      </c>
      <c r="H56" s="12" t="s">
        <v>95</v>
      </c>
      <c r="I56" s="10" t="s">
        <v>6</v>
      </c>
      <c r="J56" s="10" t="s">
        <v>346</v>
      </c>
      <c r="K56" s="10" t="s">
        <v>96</v>
      </c>
      <c r="L56" s="10" t="s">
        <v>347</v>
      </c>
      <c r="M56" s="11"/>
      <c r="N56" s="11" t="s">
        <v>8</v>
      </c>
      <c r="O56" s="11"/>
      <c r="P56" s="11"/>
    </row>
    <row r="57" customFormat="false" ht="15" hidden="false" customHeight="false" outlineLevel="0" collapsed="false">
      <c r="A57" s="10" t="n">
        <v>56</v>
      </c>
      <c r="B57" s="10" t="s">
        <v>14</v>
      </c>
      <c r="C57" s="10" t="s">
        <v>321</v>
      </c>
      <c r="D57" s="10" t="s">
        <v>348</v>
      </c>
      <c r="E57" s="10" t="s">
        <v>349</v>
      </c>
      <c r="F57" s="10" t="s">
        <v>350</v>
      </c>
      <c r="G57" s="10" t="s">
        <v>351</v>
      </c>
      <c r="H57" s="12" t="s">
        <v>95</v>
      </c>
      <c r="I57" s="10" t="s">
        <v>68</v>
      </c>
      <c r="J57" s="10" t="s">
        <v>22</v>
      </c>
      <c r="K57" s="10" t="s">
        <v>51</v>
      </c>
      <c r="L57" s="10" t="s">
        <v>352</v>
      </c>
      <c r="M57" s="11"/>
      <c r="N57" s="11" t="s">
        <v>8</v>
      </c>
      <c r="O57" s="11"/>
      <c r="P57" s="11"/>
    </row>
    <row r="58" customFormat="false" ht="23.85" hidden="false" customHeight="false" outlineLevel="0" collapsed="false">
      <c r="A58" s="10" t="n">
        <v>57</v>
      </c>
      <c r="B58" s="10" t="s">
        <v>14</v>
      </c>
      <c r="C58" s="10" t="s">
        <v>353</v>
      </c>
      <c r="D58" s="10" t="s">
        <v>354</v>
      </c>
      <c r="E58" s="10" t="s">
        <v>355</v>
      </c>
      <c r="F58" s="10" t="s">
        <v>356</v>
      </c>
      <c r="G58" s="10" t="s">
        <v>357</v>
      </c>
      <c r="H58" s="12" t="s">
        <v>95</v>
      </c>
      <c r="I58" s="10" t="s">
        <v>6</v>
      </c>
      <c r="J58" s="10" t="s">
        <v>23</v>
      </c>
      <c r="K58" s="10" t="s">
        <v>96</v>
      </c>
      <c r="L58" s="10" t="s">
        <v>358</v>
      </c>
      <c r="M58" s="11"/>
      <c r="N58" s="11" t="s">
        <v>8</v>
      </c>
      <c r="O58" s="11"/>
      <c r="P58" s="11"/>
    </row>
    <row r="59" customFormat="false" ht="15" hidden="false" customHeight="false" outlineLevel="0" collapsed="false">
      <c r="A59" s="10" t="n">
        <v>58</v>
      </c>
      <c r="B59" s="10" t="s">
        <v>14</v>
      </c>
      <c r="C59" s="10" t="s">
        <v>353</v>
      </c>
      <c r="D59" s="10" t="s">
        <v>359</v>
      </c>
      <c r="E59" s="10" t="s">
        <v>360</v>
      </c>
      <c r="F59" s="10" t="s">
        <v>361</v>
      </c>
      <c r="G59" s="10" t="s">
        <v>362</v>
      </c>
      <c r="H59" s="12" t="s">
        <v>95</v>
      </c>
      <c r="I59" s="10" t="s">
        <v>68</v>
      </c>
      <c r="J59" s="10" t="s">
        <v>23</v>
      </c>
      <c r="K59" s="10" t="s">
        <v>82</v>
      </c>
      <c r="L59" s="10" t="s">
        <v>363</v>
      </c>
      <c r="M59" s="11"/>
      <c r="N59" s="11" t="s">
        <v>8</v>
      </c>
      <c r="O59" s="11"/>
      <c r="P59" s="11"/>
    </row>
    <row r="60" customFormat="false" ht="23.85" hidden="false" customHeight="false" outlineLevel="0" collapsed="false">
      <c r="A60" s="10" t="n">
        <v>59</v>
      </c>
      <c r="B60" s="10" t="s">
        <v>14</v>
      </c>
      <c r="C60" s="10" t="s">
        <v>353</v>
      </c>
      <c r="D60" s="10" t="s">
        <v>364</v>
      </c>
      <c r="E60" s="10" t="s">
        <v>365</v>
      </c>
      <c r="F60" s="10" t="s">
        <v>366</v>
      </c>
      <c r="G60" s="10" t="s">
        <v>141</v>
      </c>
      <c r="H60" s="12" t="s">
        <v>95</v>
      </c>
      <c r="I60" s="10" t="s">
        <v>6</v>
      </c>
      <c r="J60" s="10" t="s">
        <v>367</v>
      </c>
      <c r="K60" s="13" t="s">
        <v>102</v>
      </c>
      <c r="L60" s="10" t="s">
        <v>368</v>
      </c>
      <c r="M60" s="11"/>
      <c r="N60" s="11" t="s">
        <v>8</v>
      </c>
      <c r="O60" s="11"/>
      <c r="P60" s="11"/>
    </row>
    <row r="61" customFormat="false" ht="23.85" hidden="false" customHeight="false" outlineLevel="0" collapsed="false">
      <c r="A61" s="10" t="n">
        <v>60</v>
      </c>
      <c r="B61" s="10" t="s">
        <v>14</v>
      </c>
      <c r="C61" s="10" t="s">
        <v>353</v>
      </c>
      <c r="D61" s="10" t="s">
        <v>369</v>
      </c>
      <c r="E61" s="10" t="s">
        <v>370</v>
      </c>
      <c r="F61" s="10" t="s">
        <v>371</v>
      </c>
      <c r="G61" s="10" t="s">
        <v>372</v>
      </c>
      <c r="H61" s="12" t="s">
        <v>95</v>
      </c>
      <c r="I61" s="10" t="s">
        <v>6</v>
      </c>
      <c r="J61" s="10" t="s">
        <v>373</v>
      </c>
      <c r="K61" s="10" t="s">
        <v>82</v>
      </c>
      <c r="L61" s="10" t="s">
        <v>374</v>
      </c>
      <c r="M61" s="11"/>
      <c r="N61" s="11" t="s">
        <v>8</v>
      </c>
      <c r="O61" s="11"/>
      <c r="P61" s="11"/>
    </row>
    <row r="62" customFormat="false" ht="15" hidden="false" customHeight="false" outlineLevel="0" collapsed="false">
      <c r="A62" s="10" t="n">
        <v>61</v>
      </c>
      <c r="B62" s="10" t="s">
        <v>14</v>
      </c>
      <c r="C62" s="10" t="s">
        <v>353</v>
      </c>
      <c r="D62" s="10" t="s">
        <v>375</v>
      </c>
      <c r="E62" s="10" t="s">
        <v>376</v>
      </c>
      <c r="F62" s="10" t="s">
        <v>377</v>
      </c>
      <c r="G62" s="10" t="s">
        <v>62</v>
      </c>
      <c r="H62" s="12" t="s">
        <v>95</v>
      </c>
      <c r="I62" s="10" t="s">
        <v>57</v>
      </c>
      <c r="J62" s="10" t="s">
        <v>22</v>
      </c>
      <c r="K62" s="10" t="s">
        <v>51</v>
      </c>
      <c r="L62" s="10" t="s">
        <v>378</v>
      </c>
      <c r="M62" s="11"/>
      <c r="N62" s="11" t="s">
        <v>8</v>
      </c>
      <c r="O62" s="11"/>
      <c r="P62" s="11"/>
    </row>
    <row r="63" customFormat="false" ht="15" hidden="false" customHeight="false" outlineLevel="0" collapsed="false">
      <c r="A63" s="10" t="n">
        <v>62</v>
      </c>
      <c r="B63" s="10" t="s">
        <v>14</v>
      </c>
      <c r="C63" s="10" t="s">
        <v>379</v>
      </c>
      <c r="D63" s="10" t="s">
        <v>380</v>
      </c>
      <c r="E63" s="10" t="s">
        <v>381</v>
      </c>
      <c r="F63" s="10" t="s">
        <v>382</v>
      </c>
      <c r="G63" s="10" t="s">
        <v>383</v>
      </c>
      <c r="H63" s="12" t="s">
        <v>95</v>
      </c>
      <c r="I63" s="10" t="s">
        <v>68</v>
      </c>
      <c r="J63" s="10" t="s">
        <v>22</v>
      </c>
      <c r="K63" s="10" t="s">
        <v>82</v>
      </c>
      <c r="L63" s="10" t="s">
        <v>384</v>
      </c>
      <c r="M63" s="11"/>
      <c r="N63" s="11" t="s">
        <v>8</v>
      </c>
      <c r="O63" s="11"/>
      <c r="P63" s="11"/>
    </row>
    <row r="64" customFormat="false" ht="23.85" hidden="false" customHeight="false" outlineLevel="0" collapsed="false">
      <c r="A64" s="10" t="n">
        <v>63</v>
      </c>
      <c r="B64" s="10" t="s">
        <v>14</v>
      </c>
      <c r="C64" s="10" t="s">
        <v>379</v>
      </c>
      <c r="D64" s="10" t="s">
        <v>385</v>
      </c>
      <c r="E64" s="10" t="s">
        <v>386</v>
      </c>
      <c r="F64" s="10" t="s">
        <v>387</v>
      </c>
      <c r="G64" s="10" t="s">
        <v>388</v>
      </c>
      <c r="H64" s="12" t="s">
        <v>95</v>
      </c>
      <c r="I64" s="10" t="s">
        <v>68</v>
      </c>
      <c r="J64" s="10" t="s">
        <v>22</v>
      </c>
      <c r="K64" s="10" t="s">
        <v>51</v>
      </c>
      <c r="L64" s="10" t="s">
        <v>389</v>
      </c>
      <c r="M64" s="11"/>
      <c r="N64" s="11" t="s">
        <v>8</v>
      </c>
      <c r="O64" s="11"/>
      <c r="P64" s="11"/>
    </row>
    <row r="65" customFormat="false" ht="23.85" hidden="false" customHeight="false" outlineLevel="0" collapsed="false">
      <c r="A65" s="10" t="n">
        <v>64</v>
      </c>
      <c r="B65" s="10" t="s">
        <v>14</v>
      </c>
      <c r="C65" s="10" t="s">
        <v>379</v>
      </c>
      <c r="D65" s="10" t="s">
        <v>390</v>
      </c>
      <c r="E65" s="10" t="s">
        <v>391</v>
      </c>
      <c r="F65" s="10" t="s">
        <v>392</v>
      </c>
      <c r="G65" s="10" t="s">
        <v>393</v>
      </c>
      <c r="H65" s="12" t="s">
        <v>95</v>
      </c>
      <c r="I65" s="10" t="s">
        <v>68</v>
      </c>
      <c r="J65" s="10" t="s">
        <v>22</v>
      </c>
      <c r="K65" s="10" t="s">
        <v>82</v>
      </c>
      <c r="L65" s="10" t="s">
        <v>394</v>
      </c>
      <c r="M65" s="11"/>
      <c r="N65" s="11" t="s">
        <v>8</v>
      </c>
      <c r="O65" s="11"/>
      <c r="P65" s="11"/>
    </row>
    <row r="66" customFormat="false" ht="15" hidden="false" customHeight="false" outlineLevel="0" collapsed="false">
      <c r="A66" s="10" t="n">
        <v>65</v>
      </c>
      <c r="B66" s="10" t="s">
        <v>14</v>
      </c>
      <c r="C66" s="10" t="s">
        <v>379</v>
      </c>
      <c r="D66" s="10" t="s">
        <v>395</v>
      </c>
      <c r="E66" s="10" t="s">
        <v>396</v>
      </c>
      <c r="F66" s="10" t="s">
        <v>397</v>
      </c>
      <c r="G66" s="10" t="s">
        <v>398</v>
      </c>
      <c r="H66" s="12" t="s">
        <v>95</v>
      </c>
      <c r="I66" s="10" t="s">
        <v>57</v>
      </c>
      <c r="J66" s="10" t="s">
        <v>22</v>
      </c>
      <c r="K66" s="10" t="s">
        <v>51</v>
      </c>
      <c r="L66" s="10" t="s">
        <v>302</v>
      </c>
      <c r="M66" s="11"/>
      <c r="N66" s="11" t="s">
        <v>8</v>
      </c>
      <c r="O66" s="11"/>
      <c r="P66" s="11"/>
    </row>
    <row r="68" customFormat="false" ht="15" hidden="false" customHeight="false" outlineLevel="0" collapsed="false">
      <c r="A68" s="3" t="s">
        <v>399</v>
      </c>
    </row>
    <row r="69" customFormat="false" ht="27.75" hidden="false" customHeight="true" outlineLevel="0" collapsed="false">
      <c r="A69" s="14" t="s">
        <v>400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customFormat="false" ht="27.75" hidden="false" customHeight="true" outlineLevel="0" collapsed="false">
      <c r="A70" s="14" t="s">
        <v>401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customFormat="false" ht="27.75" hidden="false" customHeight="true" outlineLevel="0" collapsed="false">
      <c r="A71" s="14" t="s">
        <v>402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customFormat="false" ht="27.75" hidden="false" customHeight="true" outlineLevel="0" collapsed="false">
      <c r="A72" s="14" t="s">
        <v>403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customFormat="false" ht="27.75" hidden="false" customHeight="true" outlineLevel="0" collapsed="false">
      <c r="A73" s="14" t="s">
        <v>404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customFormat="false" ht="27.75" hidden="false" customHeight="true" outlineLevel="0" collapsed="false">
      <c r="A74" s="14" t="s">
        <v>405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customFormat="false" ht="27.75" hidden="false" customHeight="true" outlineLevel="0" collapsed="false">
      <c r="A75" s="14" t="s">
        <v>406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</sheetData>
  <autoFilter ref="A1:P66"/>
  <mergeCells count="7">
    <mergeCell ref="A69:P69"/>
    <mergeCell ref="A70:P70"/>
    <mergeCell ref="A71:P71"/>
    <mergeCell ref="A72:P72"/>
    <mergeCell ref="A73:P73"/>
    <mergeCell ref="A74:P74"/>
    <mergeCell ref="A75:P75"/>
  </mergeCells>
  <dataValidations count="1">
    <dataValidation allowBlank="true" errorStyle="stop" operator="between" showDropDown="false" showErrorMessage="false" showInputMessage="false" sqref="N2:N66" type="list">
      <formula1>"Not Started,In Design,In Review,Approved,Blocked"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4" min="3" style="0" width="34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15"/>
    <col collapsed="false" customWidth="true" hidden="false" outlineLevel="0" max="9" min="9" style="0" width="11"/>
  </cols>
  <sheetData>
    <row r="1" customFormat="false" ht="33.75" hidden="false" customHeight="true" outlineLevel="0" collapsed="false">
      <c r="A1" s="9" t="s">
        <v>31</v>
      </c>
      <c r="B1" s="9" t="s">
        <v>407</v>
      </c>
      <c r="C1" s="9" t="s">
        <v>408</v>
      </c>
      <c r="D1" s="9" t="s">
        <v>409</v>
      </c>
      <c r="E1" s="9" t="s">
        <v>410</v>
      </c>
      <c r="F1" s="9" t="s">
        <v>411</v>
      </c>
      <c r="G1" s="9" t="s">
        <v>412</v>
      </c>
      <c r="H1" s="9" t="s">
        <v>42</v>
      </c>
      <c r="I1" s="9" t="s">
        <v>43</v>
      </c>
    </row>
    <row r="2" customFormat="false" ht="23.85" hidden="false" customHeight="false" outlineLevel="0" collapsed="false">
      <c r="A2" s="10" t="s">
        <v>413</v>
      </c>
      <c r="B2" s="10" t="s">
        <v>414</v>
      </c>
      <c r="C2" s="10" t="s">
        <v>415</v>
      </c>
      <c r="D2" s="10" t="s">
        <v>416</v>
      </c>
      <c r="E2" s="10" t="s">
        <v>417</v>
      </c>
      <c r="F2" s="10" t="s">
        <v>418</v>
      </c>
      <c r="G2" s="10" t="s">
        <v>419</v>
      </c>
      <c r="H2" s="11"/>
      <c r="I2" s="11" t="s">
        <v>420</v>
      </c>
    </row>
    <row r="3" customFormat="false" ht="23.85" hidden="false" customHeight="false" outlineLevel="0" collapsed="false">
      <c r="A3" s="10" t="s">
        <v>421</v>
      </c>
      <c r="B3" s="10" t="s">
        <v>422</v>
      </c>
      <c r="C3" s="10" t="s">
        <v>423</v>
      </c>
      <c r="D3" s="10" t="s">
        <v>424</v>
      </c>
      <c r="E3" s="10" t="s">
        <v>425</v>
      </c>
      <c r="F3" s="10" t="s">
        <v>426</v>
      </c>
      <c r="G3" s="10" t="s">
        <v>427</v>
      </c>
      <c r="H3" s="11"/>
      <c r="I3" s="11" t="s">
        <v>420</v>
      </c>
    </row>
    <row r="4" customFormat="false" ht="23.85" hidden="false" customHeight="false" outlineLevel="0" collapsed="false">
      <c r="A4" s="10" t="s">
        <v>428</v>
      </c>
      <c r="B4" s="10" t="s">
        <v>429</v>
      </c>
      <c r="C4" s="10" t="s">
        <v>430</v>
      </c>
      <c r="D4" s="10" t="s">
        <v>431</v>
      </c>
      <c r="E4" s="10" t="s">
        <v>432</v>
      </c>
      <c r="F4" s="10" t="s">
        <v>433</v>
      </c>
      <c r="G4" s="10" t="s">
        <v>434</v>
      </c>
      <c r="H4" s="11"/>
      <c r="I4" s="11" t="s">
        <v>420</v>
      </c>
    </row>
    <row r="5" customFormat="false" ht="15" hidden="false" customHeight="false" outlineLevel="0" collapsed="false">
      <c r="A5" s="10" t="s">
        <v>435</v>
      </c>
      <c r="B5" s="10" t="s">
        <v>436</v>
      </c>
      <c r="C5" s="10" t="s">
        <v>437</v>
      </c>
      <c r="D5" s="10" t="s">
        <v>438</v>
      </c>
      <c r="E5" s="10" t="s">
        <v>439</v>
      </c>
      <c r="F5" s="10" t="s">
        <v>440</v>
      </c>
      <c r="G5" s="10" t="s">
        <v>441</v>
      </c>
      <c r="H5" s="11"/>
      <c r="I5" s="11" t="s">
        <v>420</v>
      </c>
    </row>
    <row r="6" customFormat="false" ht="15" hidden="false" customHeight="false" outlineLevel="0" collapsed="false">
      <c r="A6" s="10" t="s">
        <v>442</v>
      </c>
      <c r="B6" s="10" t="s">
        <v>443</v>
      </c>
      <c r="C6" s="10" t="s">
        <v>444</v>
      </c>
      <c r="D6" s="10" t="s">
        <v>444</v>
      </c>
      <c r="E6" s="10" t="s">
        <v>445</v>
      </c>
      <c r="F6" s="10" t="s">
        <v>446</v>
      </c>
      <c r="G6" s="10" t="s">
        <v>447</v>
      </c>
      <c r="H6" s="11"/>
      <c r="I6" s="11" t="s">
        <v>420</v>
      </c>
    </row>
    <row r="7" customFormat="false" ht="23.85" hidden="false" customHeight="false" outlineLevel="0" collapsed="false">
      <c r="A7" s="10" t="s">
        <v>448</v>
      </c>
      <c r="B7" s="10" t="s">
        <v>449</v>
      </c>
      <c r="C7" s="10" t="s">
        <v>450</v>
      </c>
      <c r="D7" s="10" t="s">
        <v>451</v>
      </c>
      <c r="E7" s="10" t="s">
        <v>452</v>
      </c>
      <c r="F7" s="10" t="s">
        <v>453</v>
      </c>
      <c r="G7" s="10" t="s">
        <v>454</v>
      </c>
      <c r="H7" s="11"/>
      <c r="I7" s="11" t="s">
        <v>420</v>
      </c>
    </row>
    <row r="8" customFormat="false" ht="23.85" hidden="false" customHeight="false" outlineLevel="0" collapsed="false">
      <c r="A8" s="10" t="s">
        <v>455</v>
      </c>
      <c r="B8" s="10" t="s">
        <v>456</v>
      </c>
      <c r="C8" s="10" t="s">
        <v>457</v>
      </c>
      <c r="D8" s="10" t="s">
        <v>458</v>
      </c>
      <c r="E8" s="10" t="s">
        <v>459</v>
      </c>
      <c r="F8" s="10" t="s">
        <v>125</v>
      </c>
      <c r="G8" s="10" t="s">
        <v>460</v>
      </c>
      <c r="H8" s="11"/>
      <c r="I8" s="11" t="s">
        <v>420</v>
      </c>
    </row>
    <row r="9" customFormat="false" ht="15" hidden="false" customHeight="false" outlineLevel="0" collapsed="false">
      <c r="A9" s="10" t="s">
        <v>461</v>
      </c>
      <c r="B9" s="10" t="s">
        <v>462</v>
      </c>
      <c r="C9" s="10" t="s">
        <v>463</v>
      </c>
      <c r="D9" s="10" t="s">
        <v>464</v>
      </c>
      <c r="E9" s="10" t="s">
        <v>49</v>
      </c>
      <c r="F9" s="10" t="s">
        <v>465</v>
      </c>
      <c r="G9" s="10" t="s">
        <v>466</v>
      </c>
      <c r="H9" s="11"/>
      <c r="I9" s="11" t="s">
        <v>420</v>
      </c>
    </row>
    <row r="10" customFormat="false" ht="23.85" hidden="false" customHeight="false" outlineLevel="0" collapsed="false">
      <c r="A10" s="10" t="s">
        <v>467</v>
      </c>
      <c r="B10" s="10" t="s">
        <v>468</v>
      </c>
      <c r="C10" s="10" t="s">
        <v>469</v>
      </c>
      <c r="D10" s="10" t="s">
        <v>470</v>
      </c>
      <c r="E10" s="10" t="s">
        <v>471</v>
      </c>
      <c r="F10" s="10" t="s">
        <v>472</v>
      </c>
      <c r="G10" s="10" t="s">
        <v>473</v>
      </c>
      <c r="H10" s="11"/>
      <c r="I10" s="11" t="s">
        <v>420</v>
      </c>
    </row>
    <row r="11" customFormat="false" ht="15" hidden="false" customHeight="false" outlineLevel="0" collapsed="false">
      <c r="A11" s="10" t="s">
        <v>474</v>
      </c>
      <c r="B11" s="10" t="s">
        <v>475</v>
      </c>
      <c r="C11" s="10" t="s">
        <v>476</v>
      </c>
      <c r="D11" s="10" t="s">
        <v>477</v>
      </c>
      <c r="E11" s="10" t="s">
        <v>478</v>
      </c>
      <c r="F11" s="10" t="s">
        <v>479</v>
      </c>
      <c r="G11" s="10" t="s">
        <v>480</v>
      </c>
      <c r="H11" s="11"/>
      <c r="I11" s="11" t="s">
        <v>420</v>
      </c>
    </row>
    <row r="12" customFormat="false" ht="15" hidden="false" customHeight="false" outlineLevel="0" collapsed="false">
      <c r="A12" s="10" t="s">
        <v>481</v>
      </c>
      <c r="B12" s="10" t="s">
        <v>482</v>
      </c>
      <c r="C12" s="10" t="s">
        <v>483</v>
      </c>
      <c r="D12" s="10" t="s">
        <v>484</v>
      </c>
      <c r="E12" s="10" t="s">
        <v>485</v>
      </c>
      <c r="F12" s="10" t="s">
        <v>486</v>
      </c>
      <c r="G12" s="10" t="s">
        <v>487</v>
      </c>
      <c r="H12" s="11"/>
      <c r="I12" s="11" t="s">
        <v>420</v>
      </c>
    </row>
    <row r="13" customFormat="false" ht="15" hidden="false" customHeight="false" outlineLevel="0" collapsed="false">
      <c r="A13" s="10" t="s">
        <v>488</v>
      </c>
      <c r="B13" s="10" t="s">
        <v>489</v>
      </c>
      <c r="C13" s="10" t="s">
        <v>490</v>
      </c>
      <c r="D13" s="10" t="s">
        <v>491</v>
      </c>
      <c r="E13" s="10" t="s">
        <v>492</v>
      </c>
      <c r="F13" s="10" t="s">
        <v>493</v>
      </c>
      <c r="G13" s="10" t="s">
        <v>494</v>
      </c>
      <c r="H13" s="11"/>
      <c r="I13" s="11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2026-08-08T01:30:11Z</dcterms:created>
  <dc:creator>openpyxl</dc:creator>
  <dc:description/>
  <dc:language>en-US</dc:language>
  <cp:lastModifiedBy/>
  <dcterms:modified xsi:type="dcterms:W3CDTF">2026-08-08T01:30:11Z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